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7b4bc573a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lorer Tasks" sheetId="1" r:id="Re37087b88ae1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73D36"/>
      <x:name val="Arial"/>
    </x:font>
    <x:font>
      <x:i/>
      <x:sz val="10"/>
      <x:color rgb="FF53645E"/>
      <x:name val="Arial"/>
    </x:font>
    <x:font>
      <x:b/>
      <x:sz val="10"/>
      <x:color rgb="FF173D36"/>
      <x:name val="Arial"/>
    </x:font>
    <x:font>
      <x:sz val="10"/>
      <x:color rgb="FF394943"/>
      <x:name val="Arial"/>
    </x:font>
    <x:font>
      <x:sz val="10"/>
      <x:color rgb="FF25352F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CE8E6"/>
      </x:patternFill>
    </x:fill>
    <x:fill>
      <x:patternFill patternType="solid">
        <x:fgColor rgb="FFFFF2B3"/>
      </x:patternFill>
    </x:fill>
    <x:fill>
      <x:patternFill patternType="solid">
        <x:fgColor rgb="FFDDF3E3"/>
      </x:patternFill>
    </x:fill>
    <x:fill>
      <x:patternFill patternType="solid">
        <x:fgColor rgb="FFE9ECEB"/>
      </x:patternFill>
    </x:fill>
    <x:fill>
      <x:patternFill patternType="solid">
        <x:fgColor rgb="FF173D36"/>
      </x:patternFill>
    </x:fill>
    <x:fill>
      <x:patternFill patternType="solid">
        <x:fgColor rgb="FFF6F8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4" fillId="2" borderId="0" xfId="0"/>
    <x:xf numFmtId="0" fontId="4" fillId="3" borderId="0" xfId="0"/>
    <x:xf numFmtId="0" fontId="4" fillId="4" borderId="0" xfId="0"/>
    <x:xf numFmtId="0" fontId="4" fillId="5" borderId="0" xfId="0"/>
    <x:xf numFmtId="0" fontId="5" fillId="0" borderId="0" xfId="0"/>
    <x:xf numFmtId="0" fontId="5" fillId="6" borderId="0" xfId="0"/>
    <x:xf numFmtId="0" fontId="6" fillId="6" borderId="0" xfId="0"/>
    <x:xf numFmtId="0" fontId="6" fillId="6" borderId="0" xfId="0" applyAlignment="1">
      <x:alignment vertical="center"/>
    </x:xf>
    <x:xf numFmtId="0" fontId="5" fillId="7" borderId="0" xfId="0"/>
  </x:cellXfs>
  <x:cellStyles count="1">
    <x:cellStyle name="Normal" xfId="0"/>
  </x:cellStyles>
  <x:dxfs count="6">
    <x:dxf>
      <x:font>
        <x:b/>
        <x:color rgb="FF196239"/>
      </x:font>
      <x:fill>
        <x:patternFill>
          <x:bgColor rgb="FFDDF3E3"/>
        </x:patternFill>
      </x:fill>
    </x:dxf>
    <x:dxf>
      <x:font>
        <x:b/>
        <x:color rgb="FF755600"/>
      </x:font>
      <x:fill>
        <x:patternFill>
          <x:bgColor rgb="FFFFF2B3"/>
        </x:patternFill>
      </x:fill>
    </x:dxf>
    <x:dxf>
      <x:font>
        <x:color rgb="FF4B5954"/>
      </x:font>
      <x:fill>
        <x:patternFill>
          <x:bgColor rgb="FFE9ECEB"/>
        </x:patternFill>
      </x:fill>
    </x:dxf>
    <x:dxf>
      <x:font>
        <x:color rgb="FF4B5954"/>
      </x:font>
      <x:fill>
        <x:patternFill>
          <x:bgColor rgb="FFE9ECEB"/>
        </x:patternFill>
      </x:fill>
    </x:dxf>
    <x:dxf>
      <x:font>
        <x:b/>
        <x:color rgb="FF755600"/>
      </x:font>
      <x:fill>
        <x:patternFill>
          <x:bgColor rgb="FFFFF2B3"/>
        </x:patternFill>
      </x:fill>
    </x:dxf>
    <x:dxf>
      <x:font>
        <x:b/>
        <x:color rgb="FFA32925"/>
      </x:font>
      <x:fill>
        <x:patternFill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b23bd87b748e1" /><Relationship Type="http://schemas.openxmlformats.org/officeDocument/2006/relationships/theme" Target="/xl/theme/theme1.xml" Id="Rbb95e86c1ce64992" /><Relationship Type="http://schemas.openxmlformats.org/officeDocument/2006/relationships/sharedStrings" Target="/xl/sharedStrings.xml" Id="R553c3d024d2348d8" /><Relationship Type="http://schemas.openxmlformats.org/officeDocument/2006/relationships/worksheet" Target="/xl/worksheets/sheet1.xml" Id="Re37087b88ae14d6b" /></Relationships>
</file>

<file path=xl/tables/table1.xml><?xml version="1.0" encoding="utf-8"?>
<x:table xmlns:x="http://schemas.openxmlformats.org/spreadsheetml/2006/main" id="1" name="ExplorerTasks" displayName="ExplorerTasks" ref="A8:I84" headerRowCount="1" totalsRowCount="0" totalsRowShown="0">
  <x:autoFilter ref="A8:I84"/>
  <x:tableColumns count="9">
    <x:tableColumn id="1" name="ID"/>
    <x:tableColumn id="2" name="Workstream"/>
    <x:tableColumn id="3" name="Task / feature"/>
    <x:tableColumn id="4" name="Status"/>
    <x:tableColumn id="5" name="Importance"/>
    <x:tableColumn id="6" name="Difficulty"/>
    <x:tableColumn id="7" name="Acceptance / next action"/>
    <x:tableColumn id="8" name="Evidence / current finding"/>
    <x:tableColumn id="9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b0752e8d38416c" /></Relationships>
</file>

<file path=xl/worksheets/sheet1.xml><?xml version="1.0" encoding="utf-8"?>
<x:worksheet xmlns:x="http://schemas.openxmlformats.org/spreadsheetml/2006/main">
  <x:sheetPr>
    <x:tabColor rgb="FF173D36"/>
  </x:sheetPr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9" customWidth="1"/>
    <x:col min="2" max="2" width="17" customWidth="1"/>
    <x:col min="3" max="3" width="45" customWidth="1"/>
    <x:col min="4" max="4" width="19" customWidth="1"/>
    <x:col min="5" max="5" width="15" customWidth="1"/>
    <x:col min="6" max="6" width="14" customWidth="1"/>
    <x:col min="7" max="7" width="78" customWidth="1"/>
    <x:col min="8" max="8" width="76" customWidth="1"/>
    <x:col min="9" max="9" width="28" customWidth="1"/>
  </x:cols>
  <x:sheetData>
    <x:row r="2">
      <x:c r="A2" s="1" t="inlineStr">
        <x:is>
          <x:t xml:space="preserve">Rovvy Explorer · Scrum task tracker</x:t>
        </x:is>
      </x:c>
    </x:row>
    <x:row r="3">
      <x:c r="A3" s="2" t="inlineStr">
        <x:is>
          <x:t xml:space="preserve">As of 22 Sep 2026 · source review + local code snapshot; “Complete in code” is not production QA.</x:t>
        </x:is>
      </x:c>
    </x:row>
    <x:row r="5">
      <x:c r="A5" s="3" t="inlineStr">
        <x:is>
          <x:t xml:space="preserve">Tasks</x:t>
        </x:is>
      </x:c>
      <x:c r="B5" s="3" t="n">
        <x:v>76</x:v>
      </x:c>
      <x:c r="C5" s="3" t="inlineStr">
        <x:is>
          <x:t xml:space="preserve">Complete in code</x:t>
        </x:is>
      </x:c>
      <x:c r="D5" s="3" t="n">
        <x:f>COUNTIF(D9:D84,"Complete in code")</x:f>
        <x:v>23</x:v>
      </x:c>
      <x:c r="E5" s="3" t="inlineStr">
        <x:is>
          <x:t xml:space="preserve">Partial</x:t>
        </x:is>
      </x:c>
      <x:c r="F5" s="3" t="n">
        <x:f>COUNTIF(D9:D84,"Partial")</x:f>
        <x:v>29</x:v>
      </x:c>
      <x:c r="G5" s="3" t="inlineStr">
        <x:is>
          <x:t xml:space="preserve">Pending / not started</x:t>
        </x:is>
      </x:c>
      <x:c r="H5" s="3" t="n">
        <x:f>COUNTIF(D9:D84,"Pending")+COUNTIF(D9:D84,"Not started")</x:f>
        <x:v>24</x:v>
      </x:c>
      <x:c r="I5" s="3" t="str"/>
    </x:row>
    <x:row r="6">
      <x:c r="A6" s="4" t="inlineStr">
        <x:is>
          <x:t xml:space="preserve">Color key</x:t>
        </x:is>
      </x:c>
      <x:c r="B6" s="5" t="inlineStr">
        <x:is>
          <x:t xml:space="preserve">Red = Very hard difficulty</x:t>
        </x:is>
      </x:c>
      <x:c r="C6" s="4" t="str"/>
      <x:c r="D6" s="6" t="inlineStr">
        <x:is>
          <x:t xml:space="preserve">Yellow = Critical importance / Partial status</x:t>
        </x:is>
      </x:c>
      <x:c r="E6" s="4" t="str"/>
      <x:c r="F6" s="7" t="inlineStr">
        <x:is>
          <x:t xml:space="preserve">Green = Complete in code</x:t>
        </x:is>
      </x:c>
      <x:c r="G6" s="4" t="str"/>
      <x:c r="H6" s="8" t="inlineStr">
        <x:is>
          <x:t xml:space="preserve">Gray = Pending / not started</x:t>
        </x:is>
      </x:c>
      <x:c r="I6" s="4" t="str"/>
    </x:row>
    <x:row r="7">
      <x:c r="A7" s="2" t="inlineStr">
        <x:is>
          <x:t xml:space="preserve">Task order: gates first, then all 58 audited capabilities. Status, importance and difficulty are independent fields.</x:t>
        </x:is>
      </x:c>
    </x:row>
    <x:row r="8" ht="29" customHeight="1">
      <x:c r="A8" s="12" t="inlineStr">
        <x:is>
          <x:t xml:space="preserve">ID</x:t>
        </x:is>
      </x:c>
      <x:c r="B8" s="12" t="inlineStr">
        <x:is>
          <x:t xml:space="preserve">Workstream</x:t>
        </x:is>
      </x:c>
      <x:c r="C8" s="12" t="inlineStr">
        <x:is>
          <x:t xml:space="preserve">Task / feature</x:t>
        </x:is>
      </x:c>
      <x:c r="D8" s="12" t="inlineStr">
        <x:is>
          <x:t xml:space="preserve">Status</x:t>
        </x:is>
      </x:c>
      <x:c r="E8" s="12" t="inlineStr">
        <x:is>
          <x:t xml:space="preserve">Importance</x:t>
        </x:is>
      </x:c>
      <x:c r="F8" s="12" t="inlineStr">
        <x:is>
          <x:t xml:space="preserve">Difficulty</x:t>
        </x:is>
      </x:c>
      <x:c r="G8" s="12" t="inlineStr">
        <x:is>
          <x:t xml:space="preserve">Acceptance / next action</x:t>
        </x:is>
      </x:c>
      <x:c r="H8" s="12" t="inlineStr">
        <x:is>
          <x:t xml:space="preserve">Evidence / current finding</x:t>
        </x:is>
      </x:c>
      <x:c r="I8" s="12" t="inlineStr">
        <x:is>
          <x:t xml:space="preserve">Dependency</x:t>
        </x:is>
      </x:c>
    </x:row>
    <x:row r="9" ht="26" customHeight="1">
      <x:c r="A9" s="9" t="inlineStr">
        <x:is>
          <x:t xml:space="preserve">G01</x:t>
        </x:is>
      </x:c>
      <x:c r="B9" s="9" t="inlineStr">
        <x:is>
          <x:t xml:space="preserve">Data spine</x:t>
        </x:is>
      </x:c>
      <x:c r="C9" s="9" t="inlineStr">
        <x:is>
          <x:t xml:space="preserve">Make Overture Places the primary Explore inventory source</x:t>
        </x:is>
      </x:c>
      <x:c r="D9" s="9" t="inlineStr">
        <x:is>
          <x:t xml:space="preserve">Not started</x:t>
        </x:is>
      </x:c>
      <x:c r="E9" s="9" t="inlineStr">
        <x:is>
          <x:t xml:space="preserve">Critical</x:t>
        </x:is>
      </x:c>
      <x:c r="F9" s="9" t="inlineStr">
        <x:is>
          <x:t xml:space="preserve">Very hard</x:t>
        </x:is>
      </x:c>
      <x:c r="G9" s="9" t="inlineStr">
        <x:is>
          <x:t xml:space="preserve">Serve city/radius results from Overture-backed Supabase hot index; trace every card to source.</x:t>
        </x:is>
      </x:c>
      <x:c r="H9" s="9" t="inlineStr">
        <x:is>
          <x:t xml:space="preserve">data-spine.md; user review 2026-09-22</x:t>
        </x:is>
      </x:c>
      <x:c r="I9" s="9" t="inlineStr">
        <x:is>
          <x:t xml:space="preserve">Before cards, counts and group actions</x:t>
        </x:is>
      </x:c>
    </x:row>
    <x:row r="10" ht="26" customHeight="1">
      <x:c r="A10" s="13" t="inlineStr">
        <x:is>
          <x:t xml:space="preserve">G02</x:t>
        </x:is>
      </x:c>
      <x:c r="B10" s="13" t="inlineStr">
        <x:is>
          <x:t xml:space="preserve">Data spine</x:t>
        </x:is>
      </x:c>
      <x:c r="C10" s="13" t="inlineStr">
        <x:is>
          <x:t xml:space="preserve">Build Supabase hot-index ingestion and refresh</x:t>
        </x:is>
      </x:c>
      <x:c r="D10" s="13" t="inlineStr">
        <x:is>
          <x:t xml:space="preserve">Not started</x:t>
        </x:is>
      </x:c>
      <x:c r="E10" s="13" t="inlineStr">
        <x:is>
          <x:t xml:space="preserve">Critical</x:t>
        </x:is>
      </x:c>
      <x:c r="F10" s="13" t="inlineStr">
        <x:is>
          <x:t xml:space="preserve">Very hard</x:t>
        </x:is>
      </x:c>
      <x:c r="G10" s="13" t="inlineStr">
        <x:is>
          <x:t xml:space="preserve">Upsert Overture releases by gers_id; define freshness and query contract for Explore.</x:t>
        </x:is>
      </x:c>
      <x:c r="H10" s="13" t="inlineStr">
        <x:is>
          <x:t xml:space="preserve">data-spine.md</x:t>
        </x:is>
      </x:c>
      <x:c r="I10" s="13" t="inlineStr">
        <x:is>
          <x:t xml:space="preserve">G01</x:t>
        </x:is>
      </x:c>
    </x:row>
    <x:row r="11" ht="26" customHeight="1">
      <x:c r="A11" s="9" t="inlineStr">
        <x:is>
          <x:t xml:space="preserve">G03</x:t>
        </x:is>
      </x:c>
      <x:c r="B11" s="9" t="inlineStr">
        <x:is>
          <x:t xml:space="preserve">Data spine</x:t>
        </x:is>
      </x:c>
      <x:c r="C11" s="9" t="inlineStr">
        <x:is>
          <x:t xml:space="preserve">Connect R2 cold regional overlay / archive path</x:t>
        </x:is>
      </x:c>
      <x:c r="D11" s="9" t="inlineStr">
        <x:is>
          <x:t xml:space="preserve">Not started</x:t>
        </x:is>
      </x:c>
      <x:c r="E11" s="9" t="inlineStr">
        <x:is>
          <x:t xml:space="preserve">Critical</x:t>
        </x:is>
      </x:c>
      <x:c r="F11" s="9" t="inlineStr">
        <x:is>
          <x:t xml:space="preserve">Very hard</x:t>
        </x:is>
      </x:c>
      <x:c r="G11" s="9" t="inlineStr">
        <x:is>
          <x:t xml:space="preserve">Fetch outside hot metros through R2 cold path with measured handoff and provenance.</x:t>
        </x:is>
      </x:c>
      <x:c r="H11" s="9" t="inlineStr">
        <x:is>
          <x:t xml:space="preserve">data-spine.md; Live Tab spine strategy</x:t>
        </x:is>
      </x:c>
      <x:c r="I11" s="9" t="inlineStr">
        <x:is>
          <x:t xml:space="preserve">G01–G02</x:t>
        </x:is>
      </x:c>
    </x:row>
    <x:row r="12" ht="26" customHeight="1">
      <x:c r="A12" s="13" t="inlineStr">
        <x:is>
          <x:t xml:space="preserve">G04</x:t>
        </x:is>
      </x:c>
      <x:c r="B12" s="13" t="inlineStr">
        <x:is>
          <x:t xml:space="preserve">Data spine</x:t>
        </x:is>
      </x:c>
      <x:c r="C12" s="13" t="inlineStr">
        <x:is>
          <x:t xml:space="preserve">Remove Foursquare from required primary discovery path</x:t>
        </x:is>
      </x:c>
      <x:c r="D12" s="13" t="inlineStr">
        <x:is>
          <x:t xml:space="preserve">Not started</x:t>
        </x:is>
      </x:c>
      <x:c r="E12" s="13" t="inlineStr">
        <x:is>
          <x:t xml:space="preserve">Critical</x:t>
        </x:is>
      </x:c>
      <x:c r="F12" s="13" t="inlineStr">
        <x:is>
          <x:t xml:space="preserve">Hard</x:t>
        </x:is>
      </x:c>
      <x:c r="G12" s="13" t="inlineStr">
        <x:is>
          <x:t xml:space="preserve">No Foursquare-first card path; review optional enrichment terms before later use.</x:t>
        </x:is>
      </x:c>
      <x:c r="H12" s="13" t="inlineStr">
        <x:is>
          <x:t xml:space="preserve">data-spine.md; user review 2026-09-22</x:t>
        </x:is>
      </x:c>
      <x:c r="I12" s="13" t="inlineStr">
        <x:is>
          <x:t xml:space="preserve">G01</x:t>
        </x:is>
      </x:c>
    </x:row>
    <x:row r="13" ht="26" customHeight="1">
      <x:c r="A13" s="9" t="inlineStr">
        <x:is>
          <x:t xml:space="preserve">G05</x:t>
        </x:is>
      </x:c>
      <x:c r="B13" s="9" t="inlineStr">
        <x:is>
          <x:t xml:space="preserve">Identity</x:t>
        </x:is>
      </x:c>
      <x:c r="C13" s="9" t="inlineStr">
        <x:is>
          <x:t xml:space="preserve">Carry Overture gers_id through API, mapper and cards</x:t>
        </x:is>
      </x:c>
      <x:c r="D13" s="9" t="inlineStr">
        <x:is>
          <x:t xml:space="preserve">Not started</x:t>
        </x:is>
      </x:c>
      <x:c r="E13" s="9" t="inlineStr">
        <x:is>
          <x:t xml:space="preserve">Critical</x:t>
        </x:is>
      </x:c>
      <x:c r="F13" s="9" t="inlineStr">
        <x:is>
          <x:t xml:space="preserve">Hard</x:t>
        </x:is>
      </x:c>
      <x:c r="G13" s="9" t="inlineStr">
        <x:is>
          <x:t xml:space="preserve">Expose stable gers_id for place identity, joins and refresh.</x:t>
        </x:is>
      </x:c>
      <x:c r="H13" s="9" t="inlineStr">
        <x:is>
          <x:t xml:space="preserve">data-spine.md; user review 2026-09-22</x:t>
        </x:is>
      </x:c>
      <x:c r="I13" s="9" t="inlineStr">
        <x:is>
          <x:t xml:space="preserve">G01</x:t>
        </x:is>
      </x:c>
    </x:row>
    <x:row r="14" ht="26" customHeight="1">
      <x:c r="A14" s="13" t="inlineStr">
        <x:is>
          <x:t xml:space="preserve">G06</x:t>
        </x:is>
      </x:c>
      <x:c r="B14" s="13" t="inlineStr">
        <x:is>
          <x:t xml:space="preserve">Identity</x:t>
        </x:is>
      </x:c>
      <x:c r="C14" s="13" t="inlineStr">
        <x:is>
          <x:t xml:space="preserve">Deduplicate same place across providers</x:t>
        </x:is>
      </x:c>
      <x:c r="D14" s="13" t="inlineStr">
        <x:is>
          <x:t xml:space="preserve">Not started</x:t>
        </x:is>
      </x:c>
      <x:c r="E14" s="13" t="inlineStr">
        <x:is>
          <x:t xml:space="preserve">Critical</x:t>
        </x:is>
      </x:c>
      <x:c r="F14" s="13" t="inlineStr">
        <x:is>
          <x:t xml:space="preserve">Hard</x:t>
        </x:is>
      </x:c>
      <x:c r="G14" s="13" t="inlineStr">
        <x:is>
          <x:t xml:space="preserve">Use gers_id or verified crosswalk; same place appears once even with two provider IDs.</x:t>
        </x:is>
      </x:c>
      <x:c r="H14" s="13" t="inlineStr">
        <x:is>
          <x:t xml:space="preserve">Audit ID 26; user review 2026-09-22</x:t>
        </x:is>
      </x:c>
      <x:c r="I14" s="13" t="inlineStr">
        <x:is>
          <x:t xml:space="preserve">G05</x:t>
        </x:is>
      </x:c>
    </x:row>
    <x:row r="15" ht="26" customHeight="1">
      <x:c r="A15" s="9" t="inlineStr">
        <x:is>
          <x:t xml:space="preserve">G07</x:t>
        </x:is>
      </x:c>
      <x:c r="B15" s="9" t="inlineStr">
        <x:is>
          <x:t xml:space="preserve">Events</x:t>
        </x:is>
      </x:c>
      <x:c r="C15" s="9" t="inlineStr">
        <x:is>
          <x:t xml:space="preserve">Keep generated seasonal suggestions out of event inventory</x:t>
        </x:is>
      </x:c>
      <x:c r="D15" s="9" t="inlineStr">
        <x:is>
          <x:t xml:space="preserve">Partial</x:t>
        </x:is>
      </x:c>
      <x:c r="E15" s="9" t="inlineStr">
        <x:is>
          <x:t xml:space="preserve">Critical</x:t>
        </x:is>
      </x:c>
      <x:c r="F15" s="9" t="inlineStr">
        <x:is>
          <x:t xml:space="preserve">Hard</x:t>
        </x:is>
      </x:c>
      <x:c r="G15" s="9" t="inlineStr">
        <x:is>
          <x:t xml:space="preserve">Editorial suggestions have separate labels and never supply inventory counts, today/noon or free prices.</x:t>
        </x:is>
      </x:c>
      <x:c r="H15" s="9" t="inlineStr">
        <x:is>
          <x:t xml:space="preserve">Audit ID 4; Explorer README Critical batch 1</x:t>
        </x:is>
      </x:c>
      <x:c r="I15" s="9" t="inlineStr">
        <x:is>
          <x:t xml:space="preserve">G01</x:t>
        </x:is>
      </x:c>
    </x:row>
    <x:row r="16" ht="26" customHeight="1">
      <x:c r="A16" s="13" t="inlineStr">
        <x:is>
          <x:t xml:space="preserve">G08</x:t>
        </x:is>
      </x:c>
      <x:c r="B16" s="13" t="inlineStr">
        <x:is>
          <x:t xml:space="preserve">Design truth</x:t>
        </x:is>
      </x:c>
      <x:c r="C16" s="13" t="inlineStr">
        <x:is>
          <x:t xml:space="preserve">Design unknown price, rating, hours, photo and availability states</x:t>
        </x:is>
      </x:c>
      <x:c r="D16" s="13" t="inlineStr">
        <x:is>
          <x:t xml:space="preserve">Not started</x:t>
        </x:is>
      </x:c>
      <x:c r="E16" s="13" t="inlineStr">
        <x:is>
          <x:t xml:space="preserve">Critical</x:t>
        </x:is>
      </x:c>
      <x:c r="F16" s="13" t="inlineStr">
        <x:is>
          <x:t xml:space="preserve">Hard</x:t>
        </x:is>
      </x:c>
      <x:c r="G16" s="13" t="inlineStr">
        <x:is>
          <x:t xml:space="preserve">Every card and drawer renders missing fields explicitly; no invented zeros, stars or open status.</x:t>
        </x:is>
      </x:c>
      <x:c r="H16" s="13" t="inlineStr">
        <x:is>
          <x:t xml:space="preserve">User review 2026-09-22; Audit IDs 13–15,31</x:t>
        </x:is>
      </x:c>
      <x:c r="I16" s="13" t="inlineStr">
        <x:is>
          <x:t xml:space="preserve">G01</x:t>
        </x:is>
      </x:c>
    </x:row>
    <x:row r="17" ht="26" customHeight="1">
      <x:c r="A17" s="9" t="inlineStr">
        <x:is>
          <x:t xml:space="preserve">G09</x:t>
        </x:is>
      </x:c>
      <x:c r="B17" s="9" t="inlineStr">
        <x:is>
          <x:t xml:space="preserve">Design truth</x:t>
        </x:is>
      </x:c>
      <x:c r="C17" s="9" t="inlineStr">
        <x:is>
          <x:t xml:space="preserve">Design zero-match, partial failure, retry and pending states</x:t>
        </x:is>
      </x:c>
      <x:c r="D17" s="9" t="inlineStr">
        <x:is>
          <x:t xml:space="preserve">Partial</x:t>
        </x:is>
      </x:c>
      <x:c r="E17" s="9" t="inlineStr">
        <x:is>
          <x:t xml:space="preserve">Critical</x:t>
        </x:is>
      </x:c>
      <x:c r="F17" s="9" t="inlineStr">
        <x:is>
          <x:t xml:space="preserve">Hard</x:t>
        </x:is>
      </x:c>
      <x:c r="G17" s="9" t="inlineStr">
        <x:is>
          <x:t xml:space="preserve">Distinguish valid zero results from provider outage; show retry and pending/failure for real actions.</x:t>
        </x:is>
      </x:c>
      <x:c r="H17" s="9" t="inlineStr">
        <x:is>
          <x:t xml:space="preserve">Audit IDs 7,12,17; Explorer README Critical batch 1</x:t>
        </x:is>
      </x:c>
      <x:c r="I17" s="9" t="inlineStr">
        <x:is>
          <x:t xml:space="preserve">G08</x:t>
        </x:is>
      </x:c>
    </x:row>
    <x:row r="18" ht="26" customHeight="1">
      <x:c r="A18" s="13" t="inlineStr">
        <x:is>
          <x:t xml:space="preserve">G10</x:t>
        </x:is>
      </x:c>
      <x:c r="B18" s="13" t="inlineStr">
        <x:is>
          <x:t xml:space="preserve">Trust</x:t>
        </x:is>
      </x:c>
      <x:c r="C18" s="13" t="inlineStr">
        <x:is>
          <x:t xml:space="preserve">Remove synthetic stars and review counts across Explore pages</x:t>
        </x:is>
      </x:c>
      <x:c r="D18" s="13" t="inlineStr">
        <x:is>
          <x:t xml:space="preserve">Complete in code</x:t>
        </x:is>
      </x:c>
      <x:c r="E18" s="13" t="inlineStr">
        <x:is>
          <x:t xml:space="preserve">Critical</x:t>
        </x:is>
      </x:c>
      <x:c r="F18" s="13" t="inlineStr">
        <x:is>
          <x:t xml:space="preserve">Hard</x:t>
        </x:is>
      </x:c>
      <x:c r="G18" s="13" t="inlineStr">
        <x:is>
          <x:t xml:space="preserve">No pseudoRating on Explore routes; category cards and event detail omit synthetic stars.</x:t>
        </x:is>
      </x:c>
      <x:c r="H18" s="13" t="inlineStr">
        <x:is>
          <x:t xml:space="preserve">2026-09-22: ExploreCategoryEventCard shared; stableEventFeed; event/[id] copy fix. Follow-up: frontend/app/(dashboard)/events still uses pseudoRating.</x:t>
        </x:is>
      </x:c>
      <x:c r="I18" s="13" t="inlineStr">
        <x:is>
          <x:t xml:space="preserve">G08</x:t>
        </x:is>
      </x:c>
    </x:row>
    <x:row r="19" ht="26" customHeight="1">
      <x:c r="A19" s="9" t="inlineStr">
        <x:is>
          <x:t xml:space="preserve">G11</x:t>
        </x:is>
      </x:c>
      <x:c r="B19" s="9" t="inlineStr">
        <x:is>
          <x:t xml:space="preserve">Trust</x:t>
        </x:is>
      </x:c>
      <x:c r="C19" s="9" t="inlineStr">
        <x:is>
          <x:t xml:space="preserve">Replace Highest rated table basis and heading</x:t>
        </x:is>
      </x:c>
      <x:c r="D19" s="9" t="inlineStr">
        <x:is>
          <x:t xml:space="preserve">Complete in code</x:t>
        </x:is>
      </x:c>
      <x:c r="E19" s="9" t="inlineStr">
        <x:is>
          <x:t xml:space="preserve">Critical</x:t>
        </x:is>
      </x:c>
      <x:c r="F19" s="9" t="inlineStr">
        <x:is>
          <x:t xml:space="preserve">Moderate</x:t>
        </x:is>
      </x:c>
      <x:c r="G19" s="9" t="inlineStr">
        <x:is>
          <x:t xml:space="preserve">Main table title is Explore picks; no highest-rated or review claims.</x:t>
        </x:is>
      </x:c>
      <x:c r="H19" s="9" t="inlineStr">
        <x:is>
          <x:t xml:space="preserve">2026-09-22: Heading/copy fixed on /explore ranking section (audit ID 32 heading). Broader ratings spine still open (G10).</x:t>
        </x:is>
      </x:c>
      <x:c r="I19" s="9" t="inlineStr">
        <x:is>
          <x:t xml:space="preserve">G10</x:t>
        </x:is>
      </x:c>
    </x:row>
    <x:row r="20" ht="26" customHeight="1">
      <x:c r="A20" s="13" t="inlineStr">
        <x:is>
          <x:t xml:space="preserve">G12</x:t>
        </x:is>
      </x:c>
      <x:c r="B20" s="13" t="inlineStr">
        <x:is>
          <x:t xml:space="preserve">Visual</x:t>
        </x:is>
      </x:c>
      <x:c r="C20" s="13" t="inlineStr">
        <x:is>
          <x:t xml:space="preserve">Specify no-photo fallback as a real map crop at zoom 17</x:t>
        </x:is>
      </x:c>
      <x:c r="D20" s="13" t="inlineStr">
        <x:is>
          <x:t xml:space="preserve">Not started</x:t>
        </x:is>
      </x:c>
      <x:c r="E20" s="13" t="inlineStr">
        <x:is>
          <x:t xml:space="preserve">High</x:t>
        </x:is>
      </x:c>
      <x:c r="F20" s="13" t="inlineStr">
        <x:is>
          <x:t xml:space="preserve">Hard</x:t>
        </x:is>
      </x:c>
      <x:c r="G20" s="13" t="inlineStr">
        <x:is>
          <x:t xml:space="preserve">Use coordinate-based z17 crop where licensed/available; otherwise explicit neutral no-photo state.</x:t>
        </x:is>
      </x:c>
      <x:c r="H20" s="13" t="inlineStr">
        <x:is>
          <x:t xml:space="preserve">User review 2026-09-22; Audit IDs 31,47</x:t>
        </x:is>
      </x:c>
      <x:c r="I20" s="13" t="inlineStr">
        <x:is>
          <x:t xml:space="preserve">G08</x:t>
        </x:is>
      </x:c>
    </x:row>
    <x:row r="21" ht="26" customHeight="1">
      <x:c r="A21" s="9" t="inlineStr">
        <x:is>
          <x:t xml:space="preserve">G13</x:t>
        </x:is>
      </x:c>
      <x:c r="B21" s="9" t="inlineStr">
        <x:is>
          <x:t xml:space="preserve">Visual</x:t>
        </x:is>
      </x:c>
      <x:c r="C21" s="9" t="inlineStr">
        <x:is>
          <x:t xml:space="preserve">Remove repeated listing name within cards</x:t>
        </x:is>
      </x:c>
      <x:c r="D21" s="9" t="inlineStr">
        <x:is>
          <x:t xml:space="preserve">Complete in code</x:t>
        </x:is>
      </x:c>
      <x:c r="E21" s="9" t="inlineStr">
        <x:is>
          <x:t xml:space="preserve">High</x:t>
        </x:is>
      </x:c>
      <x:c r="F21" s="9" t="inlineStr">
        <x:is>
          <x:t xml:space="preserve">Easy</x:t>
        </x:is>
      </x:c>
      <x:c r="G21" s="9" t="inlineStr">
        <x:is>
          <x:t xml:space="preserve">One title per card; summary no longer repeats listing name when venue equals title.</x:t>
        </x:is>
      </x:c>
      <x:c r="H21" s="9" t="inlineStr">
        <x:is>
          <x:t xml:space="preserve">2026-09-22: ExploreSlotCard overlay/body title branches are mutually exclusive (code review). Fixed data-layer dup (event venue=name in meta+summary). normalizeCardSummary in hubSlotToCard. Browser spot-check: /explore?city=Chicago stayed on loading inventory locally; vitest explore-card-copy + hub map passed.</x:t>
        </x:is>
      </x:c>
      <x:c r="I21" s="9" t="inlineStr">
        <x:is>
          <x:t xml:space="preserve">G08</x:t>
        </x:is>
      </x:c>
    </x:row>
    <x:row r="22" ht="26" customHeight="1">
      <x:c r="A22" s="13" t="inlineStr">
        <x:is>
          <x:t xml:space="preserve">G14</x:t>
        </x:is>
      </x:c>
      <x:c r="B22" s="13" t="inlineStr">
        <x:is>
          <x:t xml:space="preserve">Location</x:t>
        </x:is>
      </x:c>
      <x:c r="C22" s="13" t="inlineStr">
        <x:is>
          <x:t xml:space="preserve">Suppress null location slug and stray · US rows</x:t>
        </x:is>
      </x:c>
      <x:c r="D22" s="13" t="inlineStr">
        <x:is>
          <x:t xml:space="preserve">Complete in code</x:t>
        </x:is>
      </x:c>
      <x:c r="E22" s="13" t="inlineStr">
        <x:is>
          <x:t xml:space="preserve">High</x:t>
        </x:is>
      </x:c>
      <x:c r="F22" s="13" t="inlineStr">
        <x:is>
          <x:t xml:space="preserve">Moderate</x:t>
        </x:is>
      </x:c>
      <x:c r="G22" s="13" t="inlineStr">
        <x:is>
          <x:t xml:space="preserve">Show city/state/country only when valid; no dangling separator or country-only location.</x:t>
        </x:is>
      </x:c>
      <x:c r="H22" s="13" t="inlineStr">
        <x:is>
          <x:t xml:space="preserve">User review 2026-09-22; Audit IDs 1,2</x:t>
        </x:is>
      </x:c>
      <x:c r="I22" s="13" t="inlineStr">
        <x:is>
          <x:t xml:space="preserve">2026-09-23: explore-listing-location.ts; hub/category/drawer/event detail; no dangling · US. vitest explore 40; tsc 0.</x:t>
        </x:is>
      </x:c>
    </x:row>
    <x:row r="23" ht="26" customHeight="1">
      <x:c r="A23" s="9" t="inlineStr">
        <x:is>
          <x:t xml:space="preserve">G15</x:t>
        </x:is>
      </x:c>
      <x:c r="B23" s="9" t="inlineStr">
        <x:is>
          <x:t xml:space="preserve">Feed</x:t>
        </x:is>
      </x:c>
      <x:c r="C23" s="9" t="inlineStr">
        <x:is>
          <x:t xml:space="preserve">Make displayed counts share one scope and pagination contract</x:t>
        </x:is>
      </x:c>
      <x:c r="D23" s="9" t="inlineStr">
        <x:is>
          <x:t xml:space="preserve">Partial</x:t>
        </x:is>
      </x:c>
      <x:c r="E23" s="9" t="inlineStr">
        <x:is>
          <x:t xml:space="preserve">Critical</x:t>
        </x:is>
      </x:c>
      <x:c r="F23" s="9" t="inlineStr">
        <x:is>
          <x:t xml:space="preserve">Hard</x:t>
        </x:is>
      </x:c>
      <x:c r="G23" s="9" t="inlineStr">
        <x:is>
          <x:t xml:space="preserve">Count matches visible feed scope and selected date/category; show load-more or honest cap.</x:t>
        </x:is>
      </x:c>
      <x:c r="H23" s="9" t="inlineStr">
        <x:is>
          <x:t xml:space="preserve">Audit IDs 8,27; user review 2026-09-22</x:t>
        </x:is>
      </x:c>
      <x:c r="I23" s="9" t="inlineStr">
        <x:is>
          <x:t xml:space="preserve">F08,F27</x:t>
        </x:is>
      </x:c>
    </x:row>
    <x:row r="24" ht="26" customHeight="1">
      <x:c r="A24" s="13" t="inlineStr">
        <x:is>
          <x:t xml:space="preserve">G16</x:t>
        </x:is>
      </x:c>
      <x:c r="B24" s="13" t="inlineStr">
        <x:is>
          <x:t xml:space="preserve">Group</x:t>
        </x:is>
      </x:c>
      <x:c r="C24" s="13" t="inlineStr">
        <x:is>
          <x:t xml:space="preserve">Hide unsupported group fixtures until real operations exist</x:t>
        </x:is>
      </x:c>
      <x:c r="D24" s="13" t="str">
        <x:v>Complete in code</x:v>
      </x:c>
      <x:c r="E24" s="13" t="inlineStr">
        <x:is>
          <x:t xml:space="preserve">Critical</x:t>
        </x:is>
      </x:c>
      <x:c r="F24" s="13" t="inlineStr">
        <x:is>
          <x:t xml:space="preserve">Moderate</x:t>
        </x:is>
      </x:c>
      <x:c r="G24" s="13" t="inlineStr">
        <x:is>
          <x:t xml:space="preserve">No fake who-is-going, send/share/split success, vote or RSVP deadline in production Explore.</x:t>
        </x:is>
      </x:c>
      <x:c r="H24" s="13" t="str">
        <x:v>2026-09-23: Removed unsupported Explore hub invite sheet/buttons, split placeholder, friend-attendance pills/copy, and invitation feed card. Preserved real local Save/provider handoff and the event-detail poll/share operations. Explore Vitest 44 passed (11 files); tsc --noEmit 0 errors.</x:v>
      </x:c>
      <x:c r="I24" s="13" t="inlineStr">
        <x:is>
          <x:t xml:space="preserve">G09</x:t>
        </x:is>
      </x:c>
    </x:row>
    <x:row r="25" ht="26" customHeight="1">
      <x:c r="A25" s="9" t="inlineStr">
        <x:is>
          <x:t xml:space="preserve">G17</x:t>
        </x:is>
      </x:c>
      <x:c r="B25" s="9" t="inlineStr">
        <x:is>
          <x:t xml:space="preserve">Data truth</x:t>
        </x:is>
      </x:c>
      <x:c r="C25" s="9" t="inlineStr">
        <x:is>
          <x:t xml:space="preserve">Show cache/provider age rather than browser fetch time</x:t>
        </x:is>
      </x:c>
      <x:c r="D25" s="9" t="inlineStr">
        <x:is>
          <x:t xml:space="preserve">Complete in code</x:t>
        </x:is>
      </x:c>
      <x:c r="E25" s="9" t="inlineStr">
        <x:is>
          <x:t xml:space="preserve">Critical</x:t>
        </x:is>
      </x:c>
      <x:c r="F25" s="9" t="inlineStr">
        <x:is>
          <x:t xml:space="preserve">Moderate</x:t>
        </x:is>
      </x:c>
      <x:c r="G25" s="9" t="inlineStr">
        <x:is>
          <x:t xml:space="preserve">Display last provider refresh and distinguish cached, stale and current.</x:t>
        </x:is>
      </x:c>
      <x:c r="H25" s="9" t="inlineStr">
        <x:is>
          <x:t xml:space="preserve">Cache write age on hub; not live inventory. Separate ages for events, attractions, restaurants.</x:t>
        </x:is>
      </x:c>
      <x:c r="I25" s="9" t="inlineStr">
        <x:is>
          <x:t xml:space="preserve">2026-09-23: explore_cache_freshness + _get_cached_list_with_meta; /explore/events|places freshness; hub sourceFreshness; Explore listings UI. pytest cache 4; vitest 32; tsc 0.</x:t>
        </x:is>
      </x:c>
    </x:row>
    <x:row r="26" ht="26" customHeight="1">
      <x:c r="A26" s="13" t="inlineStr">
        <x:is>
          <x:t xml:space="preserve">G18</x:t>
        </x:is>
      </x:c>
      <x:c r="B26" s="13" t="inlineStr">
        <x:is>
          <x:t xml:space="preserve">Location</x:t>
        </x:is>
      </x:c>
      <x:c r="C26" s="13" t="inlineStr">
        <x:is>
          <x:t xml:space="preserve">Use selected coordinate as distance origin and local units</x:t>
        </x:is>
      </x:c>
      <x:c r="D26" s="13" t="inlineStr">
        <x:is>
          <x:t xml:space="preserve">Partial</x:t>
        </x:is>
      </x:c>
      <x:c r="E26" s="13" t="inlineStr">
        <x:is>
          <x:t xml:space="preserve">Critical</x:t>
        </x:is>
      </x:c>
      <x:c r="F26" s="13" t="inlineStr">
        <x:is>
          <x:t xml:space="preserve">Hard</x:t>
        </x:is>
      </x:c>
      <x:c r="G26" s="13" t="inlineStr">
        <x:is>
          <x:t xml:space="preserve">Use selected GPS/city point and honest radius; show miles in Chicago.</x:t>
        </x:is>
      </x:c>
      <x:c r="H26" s="13" t="inlineStr">
        <x:is>
          <x:t xml:space="preserve">Audit ID 2; user review 2026-09-22</x:t>
        </x:is>
      </x:c>
      <x:c r="I26" s="13" t="inlineStr">
        <x:is>
          <x:t xml:space="preserve">F01,F02</x:t>
        </x:is>
      </x:c>
    </x:row>
    <x:row r="27" ht="26" customHeight="1">
      <x:c r="A27" s="9" t="inlineStr">
        <x:is>
          <x:t xml:space="preserve">F01</x:t>
        </x:is>
      </x:c>
      <x:c r="B27" s="9" t="inlineStr">
        <x:is>
          <x:t xml:space="preserve">Capability</x:t>
        </x:is>
      </x:c>
      <x:c r="C27" s="9" t="inlineStr">
        <x:is>
          <x:t xml:space="preserve">Selected city and remembered location</x:t>
        </x:is>
      </x:c>
      <x:c r="D27" s="9" t="inlineStr">
        <x:is>
          <x:t xml:space="preserve">Partial</x:t>
        </x:is>
      </x:c>
      <x:c r="E27" s="9" t="inlineStr">
        <x:is>
          <x:t xml:space="preserve">Critical</x:t>
        </x:is>
      </x:c>
      <x:c r="F27" s="9" t="inlineStr">
        <x:is>
          <x:t xml:space="preserve">Hard</x:t>
        </x:is>
      </x:c>
      <x:c r="G27" s="9" t="inlineStr">
        <x:is>
          <x:t xml:space="preserve">Use one authoritative selected scope for hero and feed; preserve explicit scope across reload/URL navigation, and ignore stale hero/geocode replies.</x:t>
        </x:is>
      </x:c>
      <x:c r="H27" s="9" t="inlineStr">
        <x:is>
          <x:t xml:space="preserve">Explore audit ID 1; The hub now has scoped selection and a request-sequence guard. Only the city name persists; state/country scope is lost on reload. The hero can still show its earlier GPS photo, weather, and place after the feed switches destination; hero/geocode replies are not guarded as the hub replies are.</x:t>
        </x:is>
      </x:c>
      <x:c r="I27" s="9" t="inlineStr">
        <x:is>
          <x:t xml:space="preserve">See related gates</x:t>
        </x:is>
      </x:c>
    </x:row>
    <x:row r="28" ht="26" customHeight="1">
      <x:c r="A28" s="13" t="inlineStr">
        <x:is>
          <x:t xml:space="preserve">F02</x:t>
        </x:is>
      </x:c>
      <x:c r="B28" s="13" t="inlineStr">
        <x:is>
          <x:t xml:space="preserve">Capability</x:t>
        </x:is>
      </x:c>
      <x:c r="C28" s="13" t="inlineStr">
        <x:is>
          <x:t xml:space="preserve">Nearby results and distance</x:t>
        </x:is>
      </x:c>
      <x:c r="D28" s="13" t="inlineStr">
        <x:is>
          <x:t xml:space="preserve">Partial</x:t>
        </x:is>
      </x:c>
      <x:c r="E28" s="13" t="inlineStr">
        <x:is>
          <x:t xml:space="preserve">Critical</x:t>
        </x:is>
      </x:c>
      <x:c r="F28" s="13" t="inlineStr">
        <x:is>
          <x:t xml:space="preserve">Hard</x:t>
        </x:is>
      </x:c>
      <x:c r="G28" s="13" t="inlineStr">
        <x:is>
          <x:t xml:space="preserve">Pass selected coordinates and visible radius; label distances from the actual origin.</x:t>
        </x:is>
      </x:c>
      <x:c r="H28" s="13" t="inlineStr">
        <x:is>
          <x:t xml:space="preserve">Explore audit ID 2; Feed uses a fixed city-coordinate map and 200-mile radius, not the actual selected GPS point; backend may expand to 500 miles.</x:t>
        </x:is>
      </x:c>
      <x:c r="I28" s="13" t="inlineStr">
        <x:is>
          <x:t xml:space="preserve">See related gates</x:t>
        </x:is>
      </x:c>
    </x:row>
    <x:row r="29" ht="26" customHeight="1">
      <x:c r="A29" s="9" t="inlineStr">
        <x:is>
          <x:t xml:space="preserve">F03</x:t>
        </x:is>
      </x:c>
      <x:c r="B29" s="9" t="inlineStr">
        <x:is>
          <x:t xml:space="preserve">Capability</x:t>
        </x:is>
      </x:c>
      <x:c r="C29" s="9" t="inlineStr">
        <x:is>
          <x:t xml:space="preserve">Venue discovery</x:t>
        </x:is>
      </x:c>
      <x:c r="D29" s="9" t="inlineStr">
        <x:is>
          <x:t xml:space="preserve">Partial</x:t>
        </x:is>
      </x:c>
      <x:c r="E29" s="9" t="inlineStr">
        <x:is>
          <x:t xml:space="preserve">Critical</x:t>
        </x:is>
      </x:c>
      <x:c r="F29" s="9" t="inlineStr">
        <x:is>
          <x:t xml:space="preserve">Hard</x:t>
        </x:is>
      </x:c>
      <x:c r="G29" s="9" t="inlineStr">
        <x:is>
          <x:t xml:space="preserve">Repair and test empty-provider fallback before relying on venues.</x:t>
        </x:is>
      </x:c>
      <x:c r="H29" s="9" t="inlineStr">
        <x:is>
          <x:t xml:space="preserve">Explore audit ID 3; Backend OSM fallback repaired locally; target Overture spine still absent.</x:t>
        </x:is>
      </x:c>
      <x:c r="I29" s="9" t="inlineStr">
        <x:is>
          <x:t xml:space="preserve">See related gates</x:t>
        </x:is>
      </x:c>
    </x:row>
    <x:row r="30" ht="26" customHeight="1">
      <x:c r="A30" s="13" t="inlineStr">
        <x:is>
          <x:t xml:space="preserve">F04</x:t>
        </x:is>
      </x:c>
      <x:c r="B30" s="13" t="inlineStr">
        <x:is>
          <x:t xml:space="preserve">Capability</x:t>
        </x:is>
      </x:c>
      <x:c r="C30" s="13" t="inlineStr">
        <x:is>
          <x:t xml:space="preserve">Verified event inventory</x:t>
        </x:is>
      </x:c>
      <x:c r="D30" s="13" t="inlineStr">
        <x:is>
          <x:t xml:space="preserve">Partial</x:t>
        </x:is>
      </x:c>
      <x:c r="E30" s="13" t="inlineStr">
        <x:is>
          <x:t xml:space="preserve">Critical</x:t>
        </x:is>
      </x:c>
      <x:c r="F30" s="13" t="inlineStr">
        <x:is>
          <x:t xml:space="preserve">Hard</x:t>
        </x:is>
      </x:c>
      <x:c r="G30" s="13" t="inlineStr">
        <x:is>
          <x:t xml:space="preserve">Separate editorial suggestions from verified events; never label generated rows as live/free inventory.</x:t>
        </x:is>
      </x:c>
      <x:c r="H30" s="13" t="inlineStr">
        <x:is>
          <x:t xml:space="preserve">Explore audit ID 4; Events endpoint can synthesize seasonal AI fallback rows with today's date, noon, and zero prices.</x:t>
        </x:is>
      </x:c>
      <x:c r="I30" s="13" t="inlineStr">
        <x:is>
          <x:t xml:space="preserve">See related gates</x:t>
        </x:is>
      </x:c>
    </x:row>
    <x:row r="31" ht="26" customHeight="1">
      <x:c r="A31" s="9" t="inlineStr">
        <x:is>
          <x:t xml:space="preserve">F05</x:t>
        </x:is>
      </x:c>
      <x:c r="B31" s="9" t="inlineStr">
        <x:is>
          <x:t xml:space="preserve">Capability</x:t>
        </x:is>
      </x:c>
      <x:c r="C31" s="9" t="inlineStr">
        <x:is>
          <x:t xml:space="preserve">Provider/source labels</x:t>
        </x:is>
      </x:c>
      <x:c r="D31" s="9" t="inlineStr">
        <x:is>
          <x:t xml:space="preserve">Partial</x:t>
        </x:is>
      </x:c>
      <x:c r="E31" s="9" t="inlineStr">
        <x:is>
          <x:t xml:space="preserve">Critical</x:t>
        </x:is>
      </x:c>
      <x:c r="F31" s="9" t="inlineStr">
        <x:is>
          <x:t xml:space="preserve">Moderate</x:t>
        </x:is>
      </x:c>
      <x:c r="G31" s="9" t="inlineStr">
        <x:is>
          <x:t xml:space="preserve">Preserve per-record provider provenance through the API and mapper.</x:t>
        </x:is>
      </x:c>
      <x:c r="H31" s="9" t="inlineStr">
        <x:is>
          <x:t xml:space="preserve">Explore audit ID 5; Provider source fields now pass through; Foursquare-first remains.</x:t>
        </x:is>
      </x:c>
      <x:c r="I31" s="9" t="inlineStr">
        <x:is>
          <x:t xml:space="preserve">See related gates</x:t>
        </x:is>
      </x:c>
    </x:row>
    <x:row r="32" ht="26" customHeight="1">
      <x:c r="A32" s="13" t="inlineStr">
        <x:is>
          <x:t xml:space="preserve">F06</x:t>
        </x:is>
      </x:c>
      <x:c r="B32" s="13" t="inlineStr">
        <x:is>
          <x:t xml:space="preserve">Capability</x:t>
        </x:is>
      </x:c>
      <x:c r="C32" s="13" t="inlineStr">
        <x:is>
          <x:t xml:space="preserve">Freshness and live status</x:t>
        </x:is>
      </x:c>
      <x:c r="D32" s="13" t="inlineStr">
        <x:is>
          <x:t xml:space="preserve">Complete in code</x:t>
        </x:is>
      </x:c>
      <x:c r="E32" s="13" t="inlineStr">
        <x:is>
          <x:t xml:space="preserve">Critical</x:t>
        </x:is>
      </x:c>
      <x:c r="F32" s="13" t="inlineStr">
        <x:is>
          <x:t xml:space="preserve">Moderate</x:t>
        </x:is>
      </x:c>
      <x:c r="G32" s="13" t="inlineStr">
        <x:is>
          <x:t xml:space="preserve">Show provider/cache timestamp and distinguish cached from verified current data.</x:t>
        </x:is>
      </x:c>
      <x:c r="H32" s="13" t="inlineStr">
        <x:is>
          <x:t xml:space="preserve">Cache write age on hub; not live inventory. Separate ages for events, attractions, restaurants.</x:t>
        </x:is>
      </x:c>
      <x:c r="I32" s="13" t="inlineStr">
        <x:is>
          <x:t xml:space="preserve">2026-09-23: explore_cache_freshness + _get_cached_list_with_meta; /explore/events|places freshness; hub sourceFreshness; Explore listings UI. pytest cache 4; vitest 32; tsc 0.</x:t>
        </x:is>
      </x:c>
    </x:row>
    <x:row r="33" ht="26" customHeight="1">
      <x:c r="A33" s="9" t="inlineStr">
        <x:is>
          <x:t xml:space="preserve">F07</x:t>
        </x:is>
      </x:c>
      <x:c r="B33" s="9" t="inlineStr">
        <x:is>
          <x:t xml:space="preserve">Capability</x:t>
        </x:is>
      </x:c>
      <x:c r="C33" s="9" t="inlineStr">
        <x:is>
          <x:t xml:space="preserve">Loading, failures, retry, empty inventory</x:t>
        </x:is>
      </x:c>
      <x:c r="D33" s="9" t="inlineStr">
        <x:is>
          <x:t xml:space="preserve">Partial</x:t>
        </x:is>
      </x:c>
      <x:c r="E33" s="9" t="inlineStr">
        <x:is>
          <x:t xml:space="preserve">Critical</x:t>
        </x:is>
      </x:c>
      <x:c r="F33" s="9" t="inlineStr">
        <x:is>
          <x:t xml:space="preserve">Hard</x:t>
        </x:is>
      </x:c>
      <x:c r="G33" s="9" t="inlineStr">
        <x:is>
          <x:t xml:space="preserve">Differentiate empty results, partial failure, and total failure; prevent stale-city results.</x:t>
        </x:is>
      </x:c>
      <x:c r="H33" s="9" t="inlineStr">
        <x:is>
          <x:t xml:space="preserve">Explore audit ID 7; Loading/retry UI exists; each provider rejection becomes an empty array, concealing outages.</x:t>
        </x:is>
      </x:c>
      <x:c r="I33" s="9" t="inlineStr">
        <x:is>
          <x:t xml:space="preserve">See related gates</x:t>
        </x:is>
      </x:c>
    </x:row>
    <x:row r="34" ht="26" customHeight="1">
      <x:c r="A34" s="13" t="inlineStr">
        <x:is>
          <x:t xml:space="preserve">F08</x:t>
        </x:is>
      </x:c>
      <x:c r="B34" s="13" t="inlineStr">
        <x:is>
          <x:t xml:space="preserve">Capability</x:t>
        </x:is>
      </x:c>
      <x:c r="C34" s="13" t="inlineStr">
        <x:is>
          <x:t xml:space="preserve">Listing/category counts</x:t>
        </x:is>
      </x:c>
      <x:c r="D34" s="13" t="inlineStr">
        <x:is>
          <x:t xml:space="preserve">Partial</x:t>
        </x:is>
      </x:c>
      <x:c r="E34" s="13" t="inlineStr">
        <x:is>
          <x:t xml:space="preserve">Critical</x:t>
        </x:is>
      </x:c>
      <x:c r="F34" s="13" t="inlineStr">
        <x:is>
          <x:t xml:space="preserve">Hard</x:t>
        </x:is>
      </x:c>
      <x:c r="G34" s="13" t="inlineStr">
        <x:is>
          <x:t xml:space="preserve">Make counts match scope, selected dates, and actual category definitions.</x:t>
        </x:is>
      </x:c>
      <x:c r="H34" s="13" t="inlineStr">
        <x:is>
          <x:t xml:space="preserve">Explore audit ID 8; Counts use the fetched pool, while only 24 items enter the feed; Free tonight is not date-filtered and Landmarks can count all places.</x:t>
        </x:is>
      </x:c>
      <x:c r="I34" s="13" t="inlineStr">
        <x:is>
          <x:t xml:space="preserve">See related gates</x:t>
        </x:is>
      </x:c>
    </x:row>
    <x:row r="35" ht="26" customHeight="1">
      <x:c r="A35" s="9" t="inlineStr">
        <x:is>
          <x:t xml:space="preserve">F09</x:t>
        </x:is>
      </x:c>
      <x:c r="B35" s="9" t="inlineStr">
        <x:is>
          <x:t xml:space="preserve">Capability</x:t>
        </x:is>
      </x:c>
      <x:c r="C35" s="9" t="inlineStr">
        <x:is>
          <x:t xml:space="preserve">Tonight / Tomorrow / Weekend / Next week</x:t>
        </x:is>
      </x:c>
      <x:c r="D35" s="9" t="inlineStr">
        <x:is>
          <x:t xml:space="preserve">Partial</x:t>
        </x:is>
      </x:c>
      <x:c r="E35" s="9" t="inlineStr">
        <x:is>
          <x:t xml:space="preserve">Critical</x:t>
        </x:is>
      </x:c>
      <x:c r="F35" s="9" t="inlineStr">
        <x:is>
          <x:t xml:space="preserve">Moderate</x:t>
        </x:is>
      </x:c>
      <x:c r="G35" s="9" t="inlineStr">
        <x:is>
          <x:t xml:space="preserve">Connect date ranges to queries and use destination timezone.</x:t>
        </x:is>
      </x:c>
      <x:c r="H35" s="9" t="inlineStr">
        <x:is>
          <x:t xml:space="preserve">Explore audit ID 9; Date range now reaches API; verify destination timezone and actual filtering.</x:t>
        </x:is>
      </x:c>
      <x:c r="I35" s="9" t="inlineStr">
        <x:is>
          <x:t xml:space="preserve">See related gates</x:t>
        </x:is>
      </x:c>
    </x:row>
    <x:row r="36" ht="26" customHeight="1">
      <x:c r="A36" s="13" t="inlineStr">
        <x:is>
          <x:t xml:space="preserve">F10</x:t>
        </x:is>
      </x:c>
      <x:c r="B36" s="13" t="inlineStr">
        <x:is>
          <x:t xml:space="preserve">Capability</x:t>
        </x:is>
      </x:c>
      <x:c r="C36" s="13" t="inlineStr">
        <x:is>
          <x:t xml:space="preserve">Category filters</x:t>
        </x:is>
      </x:c>
      <x:c r="D36" s="13" t="inlineStr">
        <x:is>
          <x:t xml:space="preserve">Partial</x:t>
        </x:is>
      </x:c>
      <x:c r="E36" s="13" t="inlineStr">
        <x:is>
          <x:t xml:space="preserve">Critical</x:t>
        </x:is>
      </x:c>
      <x:c r="F36" s="13" t="inlineStr">
        <x:is>
          <x:t xml:space="preserve">Moderate</x:t>
        </x:is>
      </x:c>
      <x:c r="G36" s="13" t="inlineStr">
        <x:is>
          <x:t xml:space="preserve">Use normalized categories, explicit all-items behavior, and correct OR/AND grouping.</x:t>
        </x:is>
      </x:c>
      <x:c r="H36" s="13" t="inlineStr">
        <x:is>
          <x:t xml:space="preserve">Explore audit ID 10; Basic keyword filtering exists for Events, Food &amp; drink, Live music, Outdoors, Landmarks, Free tonight; In database has no dedicated behavior.</x:t>
        </x:is>
      </x:c>
      <x:c r="I36" s="13" t="inlineStr">
        <x:is>
          <x:t xml:space="preserve">See related gates</x:t>
        </x:is>
      </x:c>
    </x:row>
    <x:row r="37" ht="26" customHeight="1">
      <x:c r="A37" s="9" t="inlineStr">
        <x:is>
          <x:t xml:space="preserve">F11</x:t>
        </x:is>
      </x:c>
      <x:c r="B37" s="9" t="inlineStr">
        <x:is>
          <x:t xml:space="preserve">Capability</x:t>
        </x:is>
      </x:c>
      <x:c r="C37" s="9" t="inlineStr">
        <x:is>
          <x:t xml:space="preserve">Price filters</x:t>
        </x:is>
      </x:c>
      <x:c r="D37" s="9" t="inlineStr">
        <x:is>
          <x:t xml:space="preserve">Partial</x:t>
        </x:is>
      </x:c>
      <x:c r="E37" s="9" t="inlineStr">
        <x:is>
          <x:t xml:space="preserve">Critical</x:t>
        </x:is>
      </x:c>
      <x:c r="F37" s="9" t="inlineStr">
        <x:is>
          <x:t xml:space="preserve">Moderate</x:t>
        </x:is>
      </x:c>
      <x:c r="G37" s="9" t="inlineStr">
        <x:is>
          <x:t xml:space="preserve">Filter numeric price and currency; keep unknown prices distinct.</x:t>
        </x:is>
      </x:c>
      <x:c r="H37" s="9" t="inlineStr">
        <x:is>
          <x:t xml:space="preserve">Explore audit ID 11; Numeric price chips wired; unknown currency/fee states remain.</x:t>
        </x:is>
      </x:c>
      <x:c r="I37" s="9" t="inlineStr">
        <x:is>
          <x:t xml:space="preserve">See related gates</x:t>
        </x:is>
      </x:c>
    </x:row>
    <x:row r="38" ht="26" customHeight="1">
      <x:c r="A38" s="13" t="inlineStr">
        <x:is>
          <x:t xml:space="preserve">F12</x:t>
        </x:is>
      </x:c>
      <x:c r="B38" s="13" t="inlineStr">
        <x:is>
          <x:t xml:space="preserve">Capability</x:t>
        </x:is>
      </x:c>
      <x:c r="C38" s="13" t="inlineStr">
        <x:is>
          <x:t xml:space="preserve">Zero-match filter behavior</x:t>
        </x:is>
      </x:c>
      <x:c r="D38" s="13" t="inlineStr">
        <x:is>
          <x:t xml:space="preserve">Complete in code</x:t>
        </x:is>
      </x:c>
      <x:c r="E38" s="13" t="inlineStr">
        <x:is>
          <x:t xml:space="preserve">Critical</x:t>
        </x:is>
      </x:c>
      <x:c r="F38" s="13" t="inlineStr">
        <x:is>
          <x:t xml:space="preserve">Moderate</x:t>
        </x:is>
      </x:c>
      <x:c r="G38" s="13" t="inlineStr">
        <x:is>
          <x:t xml:space="preserve">Preserve zero matches and show a clear reset action.</x:t>
        </x:is>
      </x:c>
      <x:c r="H38" s="13" t="inlineStr">
        <x:is>
          <x:t xml:space="preserve">Explore audit ID 12; Zero-match now renders an empty state; keep regression coverage.</x:t>
        </x:is>
      </x:c>
      <x:c r="I38" s="13" t="inlineStr">
        <x:is>
          <x:t xml:space="preserve">See related gates</x:t>
        </x:is>
      </x:c>
    </x:row>
    <x:row r="39" ht="26" customHeight="1">
      <x:c r="A39" s="9" t="inlineStr">
        <x:is>
          <x:t xml:space="preserve">F13</x:t>
        </x:is>
      </x:c>
      <x:c r="B39" s="9" t="inlineStr">
        <x:is>
          <x:t xml:space="preserve">Capability</x:t>
        </x:is>
      </x:c>
      <x:c r="C39" s="9" t="inlineStr">
        <x:is>
          <x:t xml:space="preserve">Price, currency, and fee accuracy</x:t>
        </x:is>
      </x:c>
      <x:c r="D39" s="9" t="inlineStr">
        <x:is>
          <x:t xml:space="preserve">Partial</x:t>
        </x:is>
      </x:c>
      <x:c r="E39" s="9" t="inlineStr">
        <x:is>
          <x:t xml:space="preserve">Critical</x:t>
        </x:is>
      </x:c>
      <x:c r="F39" s="9" t="inlineStr">
        <x:is>
          <x:t xml:space="preserve">Hard</x:t>
        </x:is>
      </x:c>
      <x:c r="G39" s="9" t="inlineStr">
        <x:is>
          <x:t xml:space="preserve">Retain currency, minimum/range/unknown states and verified fee inclusion.</x:t>
        </x:is>
      </x:c>
      <x:c r="H39" s="9" t="inlineStr">
        <x:is>
          <x:t xml:space="preserve">Explore audit ID 13; Provider prices are displayed, rounded and dollar-prefixed; unknown values become zero for totals; all-in copy overpromises fees.</x:t>
        </x:is>
      </x:c>
      <x:c r="I39" s="9" t="inlineStr">
        <x:is>
          <x:t xml:space="preserve">See related gates</x:t>
        </x:is>
      </x:c>
    </x:row>
    <x:row r="40" ht="26" customHeight="1">
      <x:c r="A40" s="13" t="inlineStr">
        <x:is>
          <x:t xml:space="preserve">F14</x:t>
        </x:is>
      </x:c>
      <x:c r="B40" s="13" t="inlineStr">
        <x:is>
          <x:t xml:space="preserve">Capability</x:t>
        </x:is>
      </x:c>
      <x:c r="C40" s="13" t="inlineStr">
        <x:is>
          <x:t xml:space="preserve">Authentic ratings and review counts</x:t>
        </x:is>
      </x:c>
      <x:c r="D40" s="13" t="inlineStr">
        <x:is>
          <x:t xml:space="preserve">Pending</x:t>
        </x:is>
      </x:c>
      <x:c r="E40" s="13" t="inlineStr">
        <x:is>
          <x:t xml:space="preserve">Critical</x:t>
        </x:is>
      </x:c>
      <x:c r="F40" s="13" t="inlineStr">
        <x:is>
          <x:t xml:space="preserve">Moderate</x:t>
        </x:is>
      </x:c>
      <x:c r="G40" s="13" t="inlineStr">
        <x:is>
          <x:t xml:space="preserve">Remove synthetic ratings now; later accept verified provider ratings only.</x:t>
        </x:is>
      </x:c>
      <x:c r="H40" s="13" t="inlineStr">
        <x:is>
          <x:t xml:space="preserve">Explore audit ID 14; pseudoRating still appears on category pages and main heading claims Highest rated.</x:t>
        </x:is>
      </x:c>
      <x:c r="I40" s="13" t="inlineStr">
        <x:is>
          <x:t xml:space="preserve">See related gates</x:t>
        </x:is>
      </x:c>
    </x:row>
    <x:row r="41" ht="26" customHeight="1">
      <x:c r="A41" s="9" t="inlineStr">
        <x:is>
          <x:t xml:space="preserve">F15</x:t>
        </x:is>
      </x:c>
      <x:c r="B41" s="9" t="inlineStr">
        <x:is>
          <x:t xml:space="preserve">Capability</x:t>
        </x:is>
      </x:c>
      <x:c r="C41" s="9" t="inlineStr">
        <x:is>
          <x:t xml:space="preserve">Open-now / availability / capacity</x:t>
        </x:is>
      </x:c>
      <x:c r="D41" s="9" t="inlineStr">
        <x:is>
          <x:t xml:space="preserve">Partial</x:t>
        </x:is>
      </x:c>
      <x:c r="E41" s="9" t="inlineStr">
        <x:is>
          <x:t xml:space="preserve">Critical</x:t>
        </x:is>
      </x:c>
      <x:c r="F41" s="9" t="inlineStr">
        <x:is>
          <x:t xml:space="preserve">Moderate</x:t>
        </x:is>
      </x:c>
      <x:c r="G41" s="9" t="inlineStr">
        <x:is>
          <x:t xml:space="preserve">Hours unknown / Check provider on cards; provider status text kept; previews labeled. Integrate verified provider/OSM hours and capacity before completing F15.</x:t>
        </x:is>
      </x:c>
      <x:c r="H41" s="9" t="inlineStr">
        <x:is>
          <x:t xml:space="preserve">No invented open-now/walk-in/bookable/capacity. OSM weekly hours + TM sold_out verified on applicable rows. Foursquare-primary places: Hours unknown until data-spine.</x:t>
        </x:is>
      </x:c>
      <x:c r="I41" s="9" t="inlineStr">
        <x:is>
          <x:t xml:space="preserve">2026-09-23: opening_hours_from_osm_tags; /explore/places; drawer Hours·OpenStreetMap; Hours listed on cards; sold_out→Sold out. pytest 3; vitest 26; tsc 0.</x:t>
        </x:is>
      </x:c>
    </x:row>
    <x:row r="42" ht="26" customHeight="1">
      <x:c r="A42" s="13" t="inlineStr">
        <x:is>
          <x:t xml:space="preserve">F16</x:t>
        </x:is>
      </x:c>
      <x:c r="B42" s="13" t="inlineStr">
        <x:is>
          <x:t xml:space="preserve">Capability</x:t>
        </x:is>
      </x:c>
      <x:c r="C42" s="13" t="inlineStr">
        <x:is>
          <x:t xml:space="preserve">Booking / provider handoff</x:t>
        </x:is>
      </x:c>
      <x:c r="D42" s="13" t="inlineStr">
        <x:is>
          <x:t xml:space="preserve">Partial</x:t>
        </x:is>
      </x:c>
      <x:c r="E42" s="13" t="inlineStr">
        <x:is>
          <x:t xml:space="preserve">Critical</x:t>
        </x:is>
      </x:c>
      <x:c r="F42" s="13" t="inlineStr">
        <x:is>
          <x:t xml:space="preserve">Moderate</x:t>
        </x:is>
      </x:c>
      <x:c r="G42" s="13" t="inlineStr">
        <x:is>
          <x:t xml:space="preserve">Retain validated provider URL and complete external handoff or disable the action.</x:t>
        </x:is>
      </x:c>
      <x:c r="H42" s="13" t="inlineStr">
        <x:is>
          <x:t xml:space="preserve">Explore audit ID 16; Source URL handoff wired locally; live provider handoff not verified.</x:t>
        </x:is>
      </x:c>
      <x:c r="I42" s="13" t="inlineStr">
        <x:is>
          <x:t xml:space="preserve">See related gates</x:t>
        </x:is>
      </x:c>
    </x:row>
    <x:row r="43" ht="26" customHeight="1">
      <x:c r="A43" s="9" t="inlineStr">
        <x:is>
          <x:t xml:space="preserve">F17</x:t>
        </x:is>
      </x:c>
      <x:c r="B43" s="9" t="inlineStr">
        <x:is>
          <x:t xml:space="preserve">Capability</x:t>
        </x:is>
      </x:c>
      <x:c r="C43" s="9" t="inlineStr">
        <x:is>
          <x:t xml:space="preserve">Truthful success and product claims</x:t>
        </x:is>
      </x:c>
      <x:c r="D43" s="9" t="inlineStr">
        <x:is>
          <x:t xml:space="preserve">Partial</x:t>
        </x:is>
      </x:c>
      <x:c r="E43" s="9" t="inlineStr">
        <x:is>
          <x:t xml:space="preserve">Critical</x:t>
        </x:is>
      </x:c>
      <x:c r="F43" s="9" t="inlineStr">
        <x:is>
          <x:t xml:space="preserve">Hard</x:t>
        </x:is>
      </x:c>
      <x:c r="G43" s="9" t="inlineStr">
        <x:is>
          <x:t xml:space="preserve">Remove or label demos immediately; only show success after a real result.</x:t>
        </x:is>
      </x:c>
      <x:c r="H43" s="9" t="inlineStr">
        <x:is>
          <x:t xml:space="preserve">Explore audit ID 17; Some fake states hidden/softened locally; remaining fixtures need full review.</x:t>
        </x:is>
      </x:c>
      <x:c r="I43" s="9" t="inlineStr">
        <x:is>
          <x:t xml:space="preserve">See related gates</x:t>
        </x:is>
      </x:c>
    </x:row>
    <x:row r="44" ht="26" customHeight="1">
      <x:c r="A44" s="13" t="inlineStr">
        <x:is>
          <x:t xml:space="preserve">F18</x:t>
        </x:is>
      </x:c>
      <x:c r="B44" s="13" t="inlineStr">
        <x:is>
          <x:t xml:space="preserve">Capability</x:t>
        </x:is>
      </x:c>
      <x:c r="C44" s="13" t="inlineStr">
        <x:is>
          <x:t xml:space="preserve">Automatic GPS detection</x:t>
        </x:is>
      </x:c>
      <x:c r="D44" s="13" t="inlineStr">
        <x:is>
          <x:t xml:space="preserve">Complete in code</x:t>
        </x:is>
      </x:c>
      <x:c r="E44" s="13" t="inlineStr">
        <x:is>
          <x:t xml:space="preserve">High</x:t>
        </x:is>
      </x:c>
      <x:c r="F44" s="13" t="inlineStr">
        <x:is>
          <x:t xml:space="preserve">Easy</x:t>
        </x:is>
      </x:c>
      <x:c r="G44" s="13" t="inlineStr">
        <x:is>
          <x:t xml:space="preserve">Keep existing behavior; verify permission UX in release QA.</x:t>
        </x:is>
      </x:c>
      <x:c r="H44" s="13" t="inlineStr">
        <x:is>
          <x:t xml:space="preserve">Explore audit ID 18; Browser geolocation is requested and supplied to the hero API.</x:t>
        </x:is>
      </x:c>
      <x:c r="I44" s="13" t="inlineStr">
        <x:is>
          <x:t xml:space="preserve">See related gates</x:t>
        </x:is>
      </x:c>
    </x:row>
    <x:row r="45" ht="26" customHeight="1">
      <x:c r="A45" s="9" t="inlineStr">
        <x:is>
          <x:t xml:space="preserve">F19</x:t>
        </x:is>
      </x:c>
      <x:c r="B45" s="9" t="inlineStr">
        <x:is>
          <x:t xml:space="preserve">Capability</x:t>
        </x:is>
      </x:c>
      <x:c r="C45" s="9" t="inlineStr">
        <x:is>
          <x:t xml:space="preserve">Approximate IP fallback</x:t>
        </x:is>
      </x:c>
      <x:c r="D45" s="9" t="inlineStr">
        <x:is>
          <x:t xml:space="preserve">Complete in code</x:t>
        </x:is>
      </x:c>
      <x:c r="E45" s="9" t="inlineStr">
        <x:is>
          <x:t xml:space="preserve">High</x:t>
        </x:is>
      </x:c>
      <x:c r="F45" s="9" t="inlineStr">
        <x:is>
          <x:t xml:space="preserve">Easy</x:t>
        </x:is>
      </x:c>
      <x:c r="G45" s="9" t="inlineStr">
        <x:is>
          <x:t xml:space="preserve">Keep fallback and nullable state behavior.</x:t>
        </x:is>
      </x:c>
      <x:c r="H45" s="9" t="inlineStr">
        <x:is>
          <x:t xml:space="preserve">Explore audit ID 19; Denied/unavailable GPS falls back to hero IP resolution with approximate labeling.</x:t>
        </x:is>
      </x:c>
      <x:c r="I45" s="9" t="inlineStr">
        <x:is>
          <x:t xml:space="preserve">See related gates</x:t>
        </x:is>
      </x:c>
    </x:row>
    <x:row r="46" ht="26" customHeight="1">
      <x:c r="A46" s="13" t="inlineStr">
        <x:is>
          <x:t xml:space="preserve">F20</x:t>
        </x:is>
      </x:c>
      <x:c r="B46" s="13" t="inlineStr">
        <x:is>
          <x:t xml:space="preserve">Capability</x:t>
        </x:is>
      </x:c>
      <x:c r="C46" s="13" t="inlineStr">
        <x:is>
          <x:t xml:space="preserve">City / postcode / neighbourhood search</x:t>
        </x:is>
      </x:c>
      <x:c r="D46" s="13" t="inlineStr">
        <x:is>
          <x:t xml:space="preserve">Complete in code</x:t>
        </x:is>
      </x:c>
      <x:c r="E46" s="13" t="inlineStr">
        <x:is>
          <x:t xml:space="preserve">High</x:t>
        </x:is>
      </x:c>
      <x:c r="F46" s="13" t="inlineStr">
        <x:is>
          <x:t xml:space="preserve">Easy</x:t>
        </x:is>
      </x:c>
      <x:c r="G46" s="13" t="inlineStr">
        <x:is>
          <x:t xml:space="preserve">Keep search; selected-city synchronization is tracked separately.</x:t>
        </x:is>
      </x:c>
      <x:c r="H46" s="13" t="inlineStr">
        <x:is>
          <x:t xml:space="preserve">Explore audit ID 20; Location sheet calls shared geocoding and applies the selected result.</x:t>
        </x:is>
      </x:c>
      <x:c r="I46" s="13" t="inlineStr">
        <x:is>
          <x:t xml:space="preserve">See related gates</x:t>
        </x:is>
      </x:c>
    </x:row>
    <x:row r="47" ht="26" customHeight="1">
      <x:c r="A47" s="9" t="inlineStr">
        <x:is>
          <x:t xml:space="preserve">F21</x:t>
        </x:is>
      </x:c>
      <x:c r="B47" s="9" t="inlineStr">
        <x:is>
          <x:t xml:space="preserve">Capability</x:t>
        </x:is>
      </x:c>
      <x:c r="C47" s="9" t="inlineStr">
        <x:is>
          <x:t xml:space="preserve">Use my exact location action</x:t>
        </x:is>
      </x:c>
      <x:c r="D47" s="9" t="inlineStr">
        <x:is>
          <x:t xml:space="preserve">Complete in code</x:t>
        </x:is>
      </x:c>
      <x:c r="E47" s="9" t="inlineStr">
        <x:is>
          <x:t xml:space="preserve">High</x:t>
        </x:is>
      </x:c>
      <x:c r="F47" s="9" t="inlineStr">
        <x:is>
          <x:t xml:space="preserve">Easy</x:t>
        </x:is>
      </x:c>
      <x:c r="G47" s="9" t="inlineStr">
        <x:is>
          <x:t xml:space="preserve">Keep no-login location correction.</x:t>
        </x:is>
      </x:c>
      <x:c r="H47" s="9" t="inlineStr">
        <x:is>
          <x:t xml:space="preserve">Explore audit ID 21; Manual retry requests high-accuracy coordinates and refreshes the hero.</x:t>
        </x:is>
      </x:c>
      <x:c r="I47" s="9" t="inlineStr">
        <x:is>
          <x:t xml:space="preserve">See related gates</x:t>
        </x:is>
      </x:c>
    </x:row>
    <x:row r="48" ht="26" customHeight="1">
      <x:c r="A48" s="13" t="inlineStr">
        <x:is>
          <x:t xml:space="preserve">F22</x:t>
        </x:is>
      </x:c>
      <x:c r="B48" s="13" t="inlineStr">
        <x:is>
          <x:t xml:space="preserve">Capability</x:t>
        </x:is>
      </x:c>
      <x:c r="C48" s="13" t="inlineStr">
        <x:is>
          <x:t xml:space="preserve">Prompt composer and preset prompts</x:t>
        </x:is>
      </x:c>
      <x:c r="D48" s="13" t="inlineStr">
        <x:is>
          <x:t xml:space="preserve">Complete in code</x:t>
        </x:is>
      </x:c>
      <x:c r="E48" s="13" t="inlineStr">
        <x:is>
          <x:t xml:space="preserve">High</x:t>
        </x:is>
      </x:c>
      <x:c r="F48" s="13" t="inlineStr">
        <x:is>
          <x:t xml:space="preserve">Easy</x:t>
        </x:is>
      </x:c>
      <x:c r="G48" s="13" t="inlineStr">
        <x:is>
          <x:t xml:space="preserve">Keep the UI; planning intelligence is tracked separately.</x:t>
        </x:is>
      </x:c>
      <x:c r="H48" s="13" t="inlineStr">
        <x:is>
          <x:t xml:space="preserve">Explore audit ID 22; Text input, auto-height, three presets, and submit interaction are implemented.</x:t>
        </x:is>
      </x:c>
      <x:c r="I48" s="13" t="inlineStr">
        <x:is>
          <x:t xml:space="preserve">See related gates</x:t>
        </x:is>
      </x:c>
    </x:row>
    <x:row r="49" ht="26" customHeight="1">
      <x:c r="A49" s="9" t="inlineStr">
        <x:is>
          <x:t xml:space="preserve">F23</x:t>
        </x:is>
      </x:c>
      <x:c r="B49" s="9" t="inlineStr">
        <x:is>
          <x:t xml:space="preserve">Capability</x:t>
        </x:is>
      </x:c>
      <x:c r="C49" s="9" t="inlineStr">
        <x:is>
          <x:t xml:space="preserve">Understand budget, party size, timing, walkability</x:t>
        </x:is>
      </x:c>
      <x:c r="D49" s="9" t="inlineStr">
        <x:is>
          <x:t xml:space="preserve">Partial</x:t>
        </x:is>
      </x:c>
      <x:c r="E49" s="9" t="inlineStr">
        <x:is>
          <x:t xml:space="preserve">High</x:t>
        </x:is>
      </x:c>
      <x:c r="F49" s="9" t="inlineStr">
        <x:is>
          <x:t xml:space="preserve">Very hard</x:t>
        </x:is>
      </x:c>
      <x:c r="G49" s="9" t="inlineStr">
        <x:is>
          <x:t xml:space="preserve">Parse supported constraints and use verified inventory; connect Wayra only where needed.</x:t>
        </x:is>
      </x:c>
      <x:c r="H49" s="9" t="inlineStr">
        <x:is>
          <x:t xml:space="preserve">Explore audit ID 23; Plan it performs any-word substring matching on local listings; no structured constraints or AI call.</x:t>
        </x:is>
      </x:c>
      <x:c r="I49" s="9" t="inlineStr">
        <x:is>
          <x:t xml:space="preserve">See related gates</x:t>
        </x:is>
      </x:c>
    </x:row>
    <x:row r="50" ht="26" customHeight="1">
      <x:c r="A50" s="13" t="inlineStr">
        <x:is>
          <x:t xml:space="preserve">F24</x:t>
        </x:is>
      </x:c>
      <x:c r="B50" s="13" t="inlineStr">
        <x:is>
          <x:t xml:space="preserve">Capability</x:t>
        </x:is>
      </x:c>
      <x:c r="C50" s="13" t="inlineStr">
        <x:is>
          <x:t xml:space="preserve">Low-key / Best fit / Big night options</x:t>
        </x:is>
      </x:c>
      <x:c r="D50" s="13" t="inlineStr">
        <x:is>
          <x:t xml:space="preserve">Partial</x:t>
        </x:is>
      </x:c>
      <x:c r="E50" s="13" t="inlineStr">
        <x:is>
          <x:t xml:space="preserve">High</x:t>
        </x:is>
      </x:c>
      <x:c r="F50" s="13" t="inlineStr">
        <x:is>
          <x:t xml:space="preserve">Hard</x:t>
        </x:is>
      </x:c>
      <x:c r="G50" s="13" t="inlineStr">
        <x:is>
          <x:t xml:space="preserve">Generate genuinely different, constraint-valid options; avoid claiming three when fewer exist.</x:t>
        </x:is>
      </x:c>
      <x:c r="H50" s="13" t="inlineStr">
        <x:is>
          <x:t xml:space="preserve">Explore audit ID 24; Up to three matching single listings receive static tier names; they are not composed itineraries.</x:t>
        </x:is>
      </x:c>
      <x:c r="I50" s="13" t="inlineStr">
        <x:is>
          <x:t xml:space="preserve">See related gates</x:t>
        </x:is>
      </x:c>
    </x:row>
    <x:row r="51" ht="26" customHeight="1">
      <x:c r="A51" s="9" t="inlineStr">
        <x:is>
          <x:t xml:space="preserve">F25</x:t>
        </x:is>
      </x:c>
      <x:c r="B51" s="9" t="inlineStr">
        <x:is>
          <x:t xml:space="preserve">Capability</x:t>
        </x:is>
      </x:c>
      <x:c r="C51" s="9" t="inlineStr">
        <x:is>
          <x:t xml:space="preserve">Take this night / save plan to day</x:t>
        </x:is>
      </x:c>
      <x:c r="D51" s="9" t="inlineStr">
        <x:is>
          <x:t xml:space="preserve">Pending</x:t>
        </x:is>
      </x:c>
      <x:c r="E51" s="9" t="inlineStr">
        <x:is>
          <x:t xml:space="preserve">High</x:t>
        </x:is>
      </x:c>
      <x:c r="F51" s="9" t="inlineStr">
        <x:is>
          <x:t xml:space="preserve">Hard</x:t>
        </x:is>
      </x:c>
      <x:c r="G51" s="9" t="inlineStr">
        <x:is>
          <x:t xml:space="preserve">Persist plan/day or create a real cart/trip handoff.</x:t>
        </x:is>
      </x:c>
      <x:c r="H51" s="9" t="inlineStr">
        <x:is>
          <x:t xml:space="preserve">Explore audit ID 25; Button only changes its label.</x:t>
        </x:is>
      </x:c>
      <x:c r="I51" s="9" t="inlineStr">
        <x:is>
          <x:t xml:space="preserve">See related gates</x:t>
        </x:is>
      </x:c>
    </x:row>
    <x:row r="52" ht="26" customHeight="1">
      <x:c r="A52" s="13" t="inlineStr">
        <x:is>
          <x:t xml:space="preserve">F26</x:t>
        </x:is>
      </x:c>
      <x:c r="B52" s="13" t="inlineStr">
        <x:is>
          <x:t xml:space="preserve">Capability</x:t>
        </x:is>
      </x:c>
      <x:c r="C52" s="13" t="inlineStr">
        <x:is>
          <x:t xml:space="preserve">Fetch and render event cards</x:t>
        </x:is>
      </x:c>
      <x:c r="D52" s="13" t="inlineStr">
        <x:is>
          <x:t xml:space="preserve">Complete in code</x:t>
        </x:is>
      </x:c>
      <x:c r="E52" s="13" t="inlineStr">
        <x:is>
          <x:t xml:space="preserve">High</x:t>
        </x:is>
      </x:c>
      <x:c r="F52" s="13" t="inlineStr">
        <x:is>
          <x:t xml:space="preserve">Easy</x:t>
        </x:is>
      </x:c>
      <x:c r="G52" s="13" t="inlineStr">
        <x:is>
          <x:t xml:space="preserve">Keep integration; provenance and correctness gaps are tracked separately.</x:t>
        </x:is>
      </x:c>
      <x:c r="H52" s="13" t="inlineStr">
        <x:is>
          <x:t xml:space="preserve">Explore audit ID 26; Hub calls the events API, deduplicates IDs, maps event cards, and opens details.</x:t>
        </x:is>
      </x:c>
      <x:c r="I52" s="13" t="inlineStr">
        <x:is>
          <x:t xml:space="preserve">G05–G06</x:t>
        </x:is>
      </x:c>
    </x:row>
    <x:row r="53" ht="26" customHeight="1">
      <x:c r="A53" s="9" t="inlineStr">
        <x:is>
          <x:t xml:space="preserve">F27</x:t>
        </x:is>
      </x:c>
      <x:c r="B53" s="9" t="inlineStr">
        <x:is>
          <x:t xml:space="preserve">Capability</x:t>
        </x:is>
      </x:c>
      <x:c r="C53" s="9" t="inlineStr">
        <x:is>
          <x:t xml:space="preserve">Balanced feed and browsing beyond 24</x:t>
        </x:is>
      </x:c>
      <x:c r="D53" s="9" t="inlineStr">
        <x:is>
          <x:t xml:space="preserve">Partial</x:t>
        </x:is>
      </x:c>
      <x:c r="E53" s="9" t="inlineStr">
        <x:is>
          <x:t xml:space="preserve">High</x:t>
        </x:is>
      </x:c>
      <x:c r="F53" s="9" t="inlineStr">
        <x:is>
          <x:t xml:space="preserve">Easy</x:t>
        </x:is>
      </x:c>
      <x:c r="G53" s="9" t="inlineStr">
        <x:is>
          <x:t xml:space="preserve">Mix categories intentionally and connect pagination.</x:t>
        </x:is>
      </x:c>
      <x:c r="H53" s="9" t="inlineStr">
        <x:is>
          <x:t xml:space="preserve">Explore audit ID 27; Feed is mixed 12 events / 12 places locally; pagination still missing.</x:t>
        </x:is>
      </x:c>
      <x:c r="I53" s="9" t="inlineStr">
        <x:is>
          <x:t xml:space="preserve">See related gates</x:t>
        </x:is>
      </x:c>
    </x:row>
    <x:row r="54" ht="26" customHeight="1">
      <x:c r="A54" s="13" t="inlineStr">
        <x:is>
          <x:t xml:space="preserve">F28</x:t>
        </x:is>
      </x:c>
      <x:c r="B54" s="13" t="inlineStr">
        <x:is>
          <x:t xml:space="preserve">Capability</x:t>
        </x:is>
      </x:c>
      <x:c r="C54" s="13" t="inlineStr">
        <x:is>
          <x:t xml:space="preserve">Vibe matching</x:t>
        </x:is>
      </x:c>
      <x:c r="D54" s="13" t="inlineStr">
        <x:is>
          <x:t xml:space="preserve">Partial</x:t>
        </x:is>
      </x:c>
      <x:c r="E54" s="13" t="inlineStr">
        <x:is>
          <x:t xml:space="preserve">High</x:t>
        </x:is>
      </x:c>
      <x:c r="F54" s="13" t="inlineStr">
        <x:is>
          <x:t xml:space="preserve">Easy</x:t>
        </x:is>
      </x:c>
      <x:c r="G54" s="13" t="inlineStr">
        <x:is>
          <x:t xml:space="preserve">Keep as approximate discovery tags or define verifiable matching rules.</x:t>
        </x:is>
      </x:c>
      <x:c r="H54" s="13" t="inlineStr">
        <x:is>
          <x:t xml:space="preserve">Explore audit ID 28; Seven vibes map to keywords; no preference model, novelty history, or validated cost/availability semantics.</x:t>
        </x:is>
      </x:c>
      <x:c r="I54" s="13" t="inlineStr">
        <x:is>
          <x:t xml:space="preserve">See related gates</x:t>
        </x:is>
      </x:c>
    </x:row>
    <x:row r="55" ht="26" customHeight="1">
      <x:c r="A55" s="9" t="inlineStr">
        <x:is>
          <x:t xml:space="preserve">F29</x:t>
        </x:is>
      </x:c>
      <x:c r="B55" s="9" t="inlineStr">
        <x:is>
          <x:t xml:space="preserve">Capability</x:t>
        </x:is>
      </x:c>
      <x:c r="C55" s="9" t="inlineStr">
        <x:is>
          <x:t xml:space="preserve">Practical filters</x:t>
        </x:is>
      </x:c>
      <x:c r="D55" s="9" t="inlineStr">
        <x:is>
          <x:t xml:space="preserve">Pending</x:t>
        </x:is>
      </x:c>
      <x:c r="E55" s="9" t="inlineStr">
        <x:is>
          <x:t xml:space="preserve">High</x:t>
        </x:is>
      </x:c>
      <x:c r="F55" s="9" t="inlineStr">
        <x:is>
          <x:t xml:space="preserve">Easy</x:t>
        </x:is>
      </x:c>
      <x:c r="G55" s="9" t="inlineStr">
        <x:is>
          <x:t xml:space="preserve">Add factual fields and filter only when known.</x:t>
        </x:is>
      </x:c>
      <x:c r="H55" s="9" t="inlineStr">
        <x:is>
          <x:t xml:space="preserve">Explore audit ID 29; Bookable now / Walk-in OK / Indoor use text matching rather than structured availability/venue facts.</x:t>
        </x:is>
      </x:c>
      <x:c r="I55" s="9" t="inlineStr">
        <x:is>
          <x:t xml:space="preserve">See related gates</x:t>
        </x:is>
      </x:c>
    </x:row>
    <x:row r="56" ht="26" customHeight="1">
      <x:c r="A56" s="13" t="inlineStr">
        <x:is>
          <x:t xml:space="preserve">F30</x:t>
        </x:is>
      </x:c>
      <x:c r="B56" s="13" t="inlineStr">
        <x:is>
          <x:t xml:space="preserve">Capability</x:t>
        </x:is>
      </x:c>
      <x:c r="C56" s="13" t="inlineStr">
        <x:is>
          <x:t xml:space="preserve">Refine panel / chip state / clear / apply</x:t>
        </x:is>
      </x:c>
      <x:c r="D56" s="13" t="inlineStr">
        <x:is>
          <x:t xml:space="preserve">Complete in code</x:t>
        </x:is>
      </x:c>
      <x:c r="E56" s="13" t="inlineStr">
        <x:is>
          <x:t xml:space="preserve">High</x:t>
        </x:is>
      </x:c>
      <x:c r="F56" s="13" t="inlineStr">
        <x:is>
          <x:t xml:space="preserve">Easy</x:t>
        </x:is>
      </x:c>
      <x:c r="G56" s="13" t="inlineStr">
        <x:is>
          <x:t xml:space="preserve">Keep controls; filtering correctness is tracked separately.</x:t>
        </x:is>
      </x:c>
      <x:c r="H56" s="13" t="inlineStr">
        <x:is>
          <x:t xml:space="preserve">Explore audit ID 30; Panel opens/closes, chips toggle, Clear all resets selection.</x:t>
        </x:is>
      </x:c>
      <x:c r="I56" s="13" t="inlineStr">
        <x:is>
          <x:t xml:space="preserve">See related gates</x:t>
        </x:is>
      </x:c>
    </x:row>
    <x:row r="57" ht="26" customHeight="1">
      <x:c r="A57" s="9" t="inlineStr">
        <x:is>
          <x:t xml:space="preserve">F31</x:t>
        </x:is>
      </x:c>
      <x:c r="B57" s="9" t="inlineStr">
        <x:is>
          <x:t xml:space="preserve">Capability</x:t>
        </x:is>
      </x:c>
      <x:c r="C57" s="9" t="inlineStr">
        <x:is>
          <x:t xml:space="preserve">Listing photos and card presentation</x:t>
        </x:is>
      </x:c>
      <x:c r="D57" s="9" t="inlineStr">
        <x:is>
          <x:t xml:space="preserve">Complete in code</x:t>
        </x:is>
      </x:c>
      <x:c r="E57" s="9" t="inlineStr">
        <x:is>
          <x:t xml:space="preserve">High</x:t>
        </x:is>
      </x:c>
      <x:c r="F57" s="9" t="inlineStr">
        <x:is>
          <x:t xml:space="preserve">Easy</x:t>
        </x:is>
      </x:c>
      <x:c r="G57" s="9" t="inlineStr">
        <x:is>
          <x:t xml:space="preserve">Keep rendering; add broken-image QA and avoid implying generic photos depict the venue.</x:t>
        </x:is>
      </x:c>
      <x:c r="H57" s="9" t="inlineStr">
        <x:is>
          <x:t xml:space="preserve">Explore audit ID 31; Provider image URLs render with lazy loading; missing images show a placeholder.</x:t>
        </x:is>
      </x:c>
      <x:c r="I57" s="9" t="inlineStr">
        <x:is>
          <x:t xml:space="preserve">See related gates</x:t>
        </x:is>
      </x:c>
    </x:row>
    <x:row r="58" ht="26" customHeight="1">
      <x:c r="A58" s="13" t="inlineStr">
        <x:is>
          <x:t xml:space="preserve">F32</x:t>
        </x:is>
      </x:c>
      <x:c r="B58" s="13" t="inlineStr">
        <x:is>
          <x:t xml:space="preserve">Capability</x:t>
        </x:is>
      </x:c>
      <x:c r="C58" s="13" t="inlineStr">
        <x:is>
          <x:t xml:space="preserve">Ranked listing table</x:t>
        </x:is>
      </x:c>
      <x:c r="D58" s="13" t="inlineStr">
        <x:is>
          <x:t xml:space="preserve">Partial</x:t>
        </x:is>
      </x:c>
      <x:c r="E58" s="13" t="inlineStr">
        <x:is>
          <x:t xml:space="preserve">High</x:t>
        </x:is>
      </x:c>
      <x:c r="F58" s="13" t="inlineStr">
        <x:is>
          <x:t xml:space="preserve">Easy</x:t>
        </x:is>
      </x:c>
      <x:c r="G58" s="13" t="inlineStr">
        <x:is>
          <x:t xml:space="preserve">Six feed-order rows: place, price, neutral availability; Check provider when unknown.</x:t>
        </x:is>
      </x:c>
      <x:c r="H58" s="13" t="inlineStr">
        <x:is>
          <x:t xml:space="preserve">2026-09-22: hubSlotsToRanking feed order; removed #/rating/distance/all-in/updated UI. Verified relevance ranking not done; pseudoRating elsewhere unchanged.</x:t>
        </x:is>
      </x:c>
      <x:c r="I58" s="13" t="inlineStr">
        <x:is>
          <x:t xml:space="preserve">See related gates</x:t>
        </x:is>
      </x:c>
    </x:row>
    <x:row r="59" ht="26" customHeight="1">
      <x:c r="A59" s="9" t="inlineStr">
        <x:is>
          <x:t xml:space="preserve">F33</x:t>
        </x:is>
      </x:c>
      <x:c r="B59" s="9" t="inlineStr">
        <x:is>
          <x:t xml:space="preserve">Capability</x:t>
        </x:is>
      </x:c>
      <x:c r="C59" s="9" t="inlineStr">
        <x:is>
          <x:t xml:space="preserve">Open/close listing detail and basic metadata</x:t>
        </x:is>
      </x:c>
      <x:c r="D59" s="9" t="inlineStr">
        <x:is>
          <x:t xml:space="preserve">Complete in code</x:t>
        </x:is>
      </x:c>
      <x:c r="E59" s="9" t="inlineStr">
        <x:is>
          <x:t xml:space="preserve">High</x:t>
        </x:is>
      </x:c>
      <x:c r="F59" s="9" t="inlineStr">
        <x:is>
          <x:t xml:space="preserve">Easy</x:t>
        </x:is>
      </x:c>
      <x:c r="G59" s="9" t="inlineStr">
        <x:is>
          <x:t xml:space="preserve">Keep the interaction; data truth and other drawer features are tracked separately.</x:t>
        </x:is>
      </x:c>
      <x:c r="H59" s="9" t="inlineStr">
        <x:is>
          <x:t xml:space="preserve">Explore audit ID 33; Drawer receives listing title, description, tags, source, and price labels.</x:t>
        </x:is>
      </x:c>
      <x:c r="I59" s="9" t="inlineStr">
        <x:is>
          <x:t xml:space="preserve">See related gates</x:t>
        </x:is>
      </x:c>
    </x:row>
    <x:row r="60" ht="26" customHeight="1">
      <x:c r="A60" s="13" t="inlineStr">
        <x:is>
          <x:t xml:space="preserve">F34</x:t>
        </x:is>
      </x:c>
      <x:c r="B60" s="13" t="inlineStr">
        <x:is>
          <x:t xml:space="preserve">Capability</x:t>
        </x:is>
      </x:c>
      <x:c r="C60" s="13" t="inlineStr">
        <x:is>
          <x:t xml:space="preserve">Save listings persistently</x:t>
        </x:is>
      </x:c>
      <x:c r="D60" s="13" t="inlineStr">
        <x:is>
          <x:t xml:space="preserve">Partial</x:t>
        </x:is>
      </x:c>
      <x:c r="E60" s="13" t="inlineStr">
        <x:is>
          <x:t xml:space="preserve">High</x:t>
        </x:is>
      </x:c>
      <x:c r="F60" s="13" t="inlineStr">
        <x:is>
          <x:t xml:space="preserve">Hard</x:t>
        </x:is>
      </x:c>
      <x:c r="G60" s="13" t="inlineStr">
        <x:is>
          <x:t xml:space="preserve">Choose Collection for bookmarks and Cart for actionable selections; persist snapshots and deduplicate.</x:t>
        </x:is>
      </x:c>
      <x:c r="H60" s="13" t="inlineStr">
        <x:is>
          <x:t xml:space="preserve">Explore audit ID 34; Save stores IDs in page state; reload loses them and city changes can break saved-item lookup.</x:t>
        </x:is>
      </x:c>
      <x:c r="I60" s="13" t="inlineStr">
        <x:is>
          <x:t xml:space="preserve">See related gates</x:t>
        </x:is>
      </x:c>
    </x:row>
    <x:row r="61" ht="26" customHeight="1">
      <x:c r="A61" s="9" t="inlineStr">
        <x:is>
          <x:t xml:space="preserve">F35</x:t>
        </x:is>
      </x:c>
      <x:c r="B61" s="9" t="inlineStr">
        <x:is>
          <x:t xml:space="preserve">Capability</x:t>
        </x:is>
      </x:c>
      <x:c r="C61" s="9" t="inlineStr">
        <x:is>
          <x:t xml:space="preserve">Saved bar / clear selection / party size</x:t>
        </x:is>
      </x:c>
      <x:c r="D61" s="9" t="inlineStr">
        <x:is>
          <x:t xml:space="preserve">Complete in code</x:t>
        </x:is>
      </x:c>
      <x:c r="E61" s="9" t="inlineStr">
        <x:is>
          <x:t xml:space="preserve">High</x:t>
        </x:is>
      </x:c>
      <x:c r="F61" s="9" t="inlineStr">
        <x:is>
          <x:t xml:space="preserve">Easy</x:t>
        </x:is>
      </x:c>
      <x:c r="G61" s="9" t="inlineStr">
        <x:is>
          <x:t xml:space="preserve">Keep controls; storage and totals accuracy are tracked separately.</x:t>
        </x:is>
      </x:c>
      <x:c r="H61" s="9" t="inlineStr">
        <x:is>
          <x:t xml:space="preserve">Explore audit ID 35; Saved count, clearing, and 1–16 person stepper are implemented locally.</x:t>
        </x:is>
      </x:c>
      <x:c r="I61" s="9" t="inlineStr">
        <x:is>
          <x:t xml:space="preserve">See related gates</x:t>
        </x:is>
      </x:c>
    </x:row>
    <x:row r="62" ht="26" customHeight="1">
      <x:c r="A62" s="13" t="inlineStr">
        <x:is>
          <x:t xml:space="preserve">F36</x:t>
        </x:is>
      </x:c>
      <x:c r="B62" s="13" t="inlineStr">
        <x:is>
          <x:t xml:space="preserve">Capability</x:t>
        </x:is>
      </x:c>
      <x:c r="C62" s="13" t="inlineStr">
        <x:is>
          <x:t xml:space="preserve">Group cost estimate</x:t>
        </x:is>
      </x:c>
      <x:c r="D62" s="13" t="inlineStr">
        <x:is>
          <x:t xml:space="preserve">Partial</x:t>
        </x:is>
      </x:c>
      <x:c r="E62" s="13" t="inlineStr">
        <x:is>
          <x:t xml:space="preserve">High</x:t>
        </x:is>
      </x:c>
      <x:c r="F62" s="13" t="inlineStr">
        <x:is>
          <x:t xml:space="preserve">Easy</x:t>
        </x:is>
      </x:c>
      <x:c r="G62" s="13" t="inlineStr">
        <x:is>
          <x:t xml:space="preserve">Handle unknown, mixed-currency, fee, quantity, and per-group prices correctly.</x:t>
        </x:is>
      </x:c>
      <x:c r="H62" s="13" t="inlineStr">
        <x:is>
          <x:t xml:space="preserve">Explore audit ID 36; Basic multiplication works but treats unknown prices as zero and assumes one per-person price/currency.</x:t>
        </x:is>
      </x:c>
      <x:c r="I62" s="13" t="inlineStr">
        <x:is>
          <x:t xml:space="preserve">See related gates</x:t>
        </x:is>
      </x:c>
    </x:row>
    <x:row r="63" ht="26" customHeight="1">
      <x:c r="A63" s="9" t="inlineStr">
        <x:is>
          <x:t xml:space="preserve">F37</x:t>
        </x:is>
      </x:c>
      <x:c r="B63" s="9" t="inlineStr">
        <x:is>
          <x:t xml:space="preserve">Capability</x:t>
        </x:is>
      </x:c>
      <x:c r="C63" s="9" t="inlineStr">
        <x:is>
          <x:t xml:space="preserve">Invite real friends / send invitations</x:t>
        </x:is>
      </x:c>
      <x:c r="D63" s="9" t="inlineStr">
        <x:is>
          <x:t xml:space="preserve">Pending</x:t>
        </x:is>
      </x:c>
      <x:c r="E63" s="9" t="inlineStr">
        <x:is>
          <x:t xml:space="preserve">High</x:t>
        </x:is>
      </x:c>
      <x:c r="F63" s="9" t="inlineStr">
        <x:is>
          <x:t xml:space="preserve">Very hard</x:t>
        </x:is>
      </x:c>
      <x:c r="G63" s="9" t="inlineStr">
        <x:is>
          <x:t xml:space="preserve">Connect real eligible recipients, selected activity, invitation delivery, and failures.</x:t>
        </x:is>
      </x:c>
      <x:c r="H63" s="9" t="inlineStr">
        <x:is>
          <x:t xml:space="preserve">Explore audit ID 37; Invite sheet is now marked coming soon; real invitations still absent.</x:t>
        </x:is>
      </x:c>
      <x:c r="I63" s="9" t="inlineStr">
        <x:is>
          <x:t xml:space="preserve">See related gates</x:t>
        </x:is>
      </x:c>
    </x:row>
    <x:row r="64" ht="26" customHeight="1">
      <x:c r="A64" s="13" t="inlineStr">
        <x:is>
          <x:t xml:space="preserve">F38</x:t>
        </x:is>
      </x:c>
      <x:c r="B64" s="13" t="inlineStr">
        <x:is>
          <x:t xml:space="preserve">Capability</x:t>
        </x:is>
      </x:c>
      <x:c r="C64" s="13" t="inlineStr">
        <x:is>
          <x:t xml:space="preserve">Share listing to group chat</x:t>
        </x:is>
      </x:c>
      <x:c r="D64" s="13" t="inlineStr">
        <x:is>
          <x:t xml:space="preserve">Pending</x:t>
        </x:is>
      </x:c>
      <x:c r="E64" s="13" t="inlineStr">
        <x:is>
          <x:t xml:space="preserve">High</x:t>
        </x:is>
      </x:c>
      <x:c r="F64" s="13" t="inlineStr">
        <x:is>
          <x:t xml:space="preserve">Hard</x:t>
        </x:is>
      </x:c>
      <x:c r="G64" s="13" t="inlineStr">
        <x:is>
          <x:t xml:space="preserve">Connect a selected group and real message payload, or provide ordinary link sharing.</x:t>
        </x:is>
      </x:c>
      <x:c r="H64" s="13" t="inlineStr">
        <x:is>
          <x:t xml:space="preserve">Explore audit ID 38; Fake share success removed; real group message remains absent.</x:t>
        </x:is>
      </x:c>
      <x:c r="I64" s="13" t="inlineStr">
        <x:is>
          <x:t xml:space="preserve">See related gates</x:t>
        </x:is>
      </x:c>
    </x:row>
    <x:row r="65" ht="26" customHeight="1">
      <x:c r="A65" s="9" t="inlineStr">
        <x:is>
          <x:t xml:space="preserve">F39</x:t>
        </x:is>
      </x:c>
      <x:c r="B65" s="9" t="inlineStr">
        <x:is>
          <x:t xml:space="preserve">Capability</x:t>
        </x:is>
      </x:c>
      <x:c r="C65" s="9" t="inlineStr">
        <x:is>
          <x:t xml:space="preserve">Share invitation link</x:t>
        </x:is>
      </x:c>
      <x:c r="D65" s="9" t="inlineStr">
        <x:is>
          <x:t xml:space="preserve">Pending</x:t>
        </x:is>
      </x:c>
      <x:c r="E65" s="9" t="inlineStr">
        <x:is>
          <x:t xml:space="preserve">High</x:t>
        </x:is>
      </x:c>
      <x:c r="F65" s="9" t="inlineStr">
        <x:is>
          <x:t xml:space="preserve">Easy</x:t>
        </x:is>
      </x:c>
      <x:c r="G65" s="9" t="inlineStr">
        <x:is>
          <x:t xml:space="preserve">Create a scoped invitation link and copy/share flow.</x:t>
        </x:is>
      </x:c>
      <x:c r="H65" s="9" t="inlineStr">
        <x:is>
          <x:t xml:space="preserve">Explore audit ID 39; Share a link instead has no handler.</x:t>
        </x:is>
      </x:c>
      <x:c r="I65" s="9" t="inlineStr">
        <x:is>
          <x:t xml:space="preserve">See related gates</x:t>
        </x:is>
      </x:c>
    </x:row>
    <x:row r="66" ht="26" customHeight="1">
      <x:c r="A66" s="13" t="inlineStr">
        <x:is>
          <x:t xml:space="preserve">F40</x:t>
        </x:is>
      </x:c>
      <x:c r="B66" s="13" t="inlineStr">
        <x:is>
          <x:t xml:space="preserve">Capability</x:t>
        </x:is>
      </x:c>
      <x:c r="C66" s="13" t="inlineStr">
        <x:is>
          <x:t xml:space="preserve">Keyboard-complete dialogs</x:t>
        </x:is>
      </x:c>
      <x:c r="D66" s="13" t="inlineStr">
        <x:is>
          <x:t xml:space="preserve">Pending</x:t>
        </x:is>
      </x:c>
      <x:c r="E66" s="13" t="inlineStr">
        <x:is>
          <x:t xml:space="preserve">High</x:t>
        </x:is>
      </x:c>
      <x:c r="F66" s="13" t="inlineStr">
        <x:is>
          <x:t xml:space="preserve">Easy</x:t>
        </x:is>
      </x:c>
      <x:c r="G66" s="13" t="inlineStr">
        <x:is>
          <x:t xml:space="preserve">Verify keyboard navigation and add consistent modal focus behavior.</x:t>
        </x:is>
      </x:c>
      <x:c r="H66" s="13" t="inlineStr">
        <x:is>
          <x:t xml:space="preserve">Explore audit ID 40; Location has Escape handling; drawer/invite lack visible focus trap/restore and Escape support in these components.</x:t>
        </x:is>
      </x:c>
      <x:c r="I66" s="13" t="inlineStr">
        <x:is>
          <x:t xml:space="preserve">See related gates</x:t>
        </x:is>
      </x:c>
    </x:row>
    <x:row r="67" ht="26" customHeight="1">
      <x:c r="A67" s="9" t="inlineStr">
        <x:is>
          <x:t xml:space="preserve">F41</x:t>
        </x:is>
      </x:c>
      <x:c r="B67" s="9" t="inlineStr">
        <x:is>
          <x:t xml:space="preserve">Capability</x:t>
        </x:is>
      </x:c>
      <x:c r="C67" s="9" t="inlineStr">
        <x:is>
          <x:t xml:space="preserve">Destination click / deep link / reset</x:t>
        </x:is>
      </x:c>
      <x:c r="D67" s="9" t="inlineStr">
        <x:is>
          <x:t xml:space="preserve">Partial</x:t>
        </x:is>
      </x:c>
      <x:c r="E67" s="9" t="inlineStr">
        <x:is>
          <x:t xml:space="preserve">High</x:t>
        </x:is>
      </x:c>
      <x:c r="F67" s="9" t="inlineStr">
        <x:is>
          <x:t xml:space="preserve">Easy</x:t>
        </x:is>
      </x:c>
      <x:c r="G67" s="9" t="inlineStr">
        <x:is>
          <x:t xml:space="preserve">Preserve explicit destination and return to user's actual previous location.</x:t>
        </x:is>
      </x:c>
      <x:c r="H67" s="9" t="inlineStr">
        <x:is>
          <x:t xml:space="preserve">Explore audit ID 41; City selection and query-string handoff exist; GPS can overwrite selection and reset is always Chicago.</x:t>
        </x:is>
      </x:c>
      <x:c r="I67" s="9" t="inlineStr">
        <x:is>
          <x:t xml:space="preserve">See related gates</x:t>
        </x:is>
      </x:c>
    </x:row>
    <x:row r="68" ht="26" customHeight="1">
      <x:c r="A68" s="13" t="inlineStr">
        <x:is>
          <x:t xml:space="preserve">F42</x:t>
        </x:is>
      </x:c>
      <x:c r="B68" s="13" t="inlineStr">
        <x:is>
          <x:t xml:space="preserve">Capability</x:t>
        </x:is>
      </x:c>
      <x:c r="C68" s="13" t="inlineStr">
        <x:is>
          <x:t xml:space="preserve">Shared navigation and responsive layout</x:t>
        </x:is>
      </x:c>
      <x:c r="D68" s="13" t="inlineStr">
        <x:is>
          <x:t xml:space="preserve">Complete in code</x:t>
        </x:is>
      </x:c>
      <x:c r="E68" s="13" t="inlineStr">
        <x:is>
          <x:t xml:space="preserve">High</x:t>
        </x:is>
      </x:c>
      <x:c r="F68" s="13" t="inlineStr">
        <x:is>
          <x:t xml:space="preserve">Easy</x:t>
        </x:is>
      </x:c>
      <x:c r="G68" s="13" t="inlineStr">
        <x:is>
          <x:t xml:space="preserve">Retain layout; browser/mobile QA was not rerun in this audit.</x:t>
        </x:is>
      </x:c>
      <x:c r="H68" s="13" t="inlineStr">
        <x:is>
          <x:t xml:space="preserve">Explore audit ID 42; Explore uses the shared app header/dashboard shell and responsive stylesheet.</x:t>
        </x:is>
      </x:c>
      <x:c r="I68" s="13" t="inlineStr">
        <x:is>
          <x:t xml:space="preserve">See related gates</x:t>
        </x:is>
      </x:c>
    </x:row>
    <x:row r="69" ht="26" customHeight="1">
      <x:c r="A69" s="9" t="inlineStr">
        <x:is>
          <x:t xml:space="preserve">F43</x:t>
        </x:is>
      </x:c>
      <x:c r="B69" s="9" t="inlineStr">
        <x:is>
          <x:t xml:space="preserve">Capability</x:t>
        </x:is>
      </x:c>
      <x:c r="C69" s="9" t="inlineStr">
        <x:is>
          <x:t xml:space="preserve">Location hero photo and attribution</x:t>
        </x:is>
      </x:c>
      <x:c r="D69" s="9" t="inlineStr">
        <x:is>
          <x:t xml:space="preserve">Complete in code</x:t>
        </x:is>
      </x:c>
      <x:c r="E69" s="9" t="inlineStr">
        <x:is>
          <x:t xml:space="preserve">Later</x:t>
        </x:is>
      </x:c>
      <x:c r="F69" s="9" t="inlineStr">
        <x:is>
          <x:t xml:space="preserve">Easy</x:t>
        </x:is>
      </x:c>
      <x:c r="G69" s="9" t="inlineStr">
        <x:is>
          <x:t xml:space="preserve">Keep; defer additional image polish.</x:t>
        </x:is>
      </x:c>
      <x:c r="H69" s="9" t="inlineStr">
        <x:is>
          <x:t xml:space="preserve">Explore audit ID 43; Hero API supplies geographically checked imagery with fallback/credit display.</x:t>
        </x:is>
      </x:c>
      <x:c r="I69" s="9" t="inlineStr">
        <x:is>
          <x:t xml:space="preserve">See related gates</x:t>
        </x:is>
      </x:c>
    </x:row>
    <x:row r="70" ht="26" customHeight="1">
      <x:c r="A70" s="13" t="inlineStr">
        <x:is>
          <x:t xml:space="preserve">F44</x:t>
        </x:is>
      </x:c>
      <x:c r="B70" s="13" t="inlineStr">
        <x:is>
          <x:t xml:space="preserve">Capability</x:t>
        </x:is>
      </x:c>
      <x:c r="C70" s="13" t="inlineStr">
        <x:is>
          <x:t xml:space="preserve">Local weather display</x:t>
        </x:is>
      </x:c>
      <x:c r="D70" s="13" t="inlineStr">
        <x:is>
          <x:t xml:space="preserve">Complete in code</x:t>
        </x:is>
      </x:c>
      <x:c r="E70" s="13" t="inlineStr">
        <x:is>
          <x:t xml:space="preserve">Later</x:t>
        </x:is>
      </x:c>
      <x:c r="F70" s="13" t="inlineStr">
        <x:is>
          <x:t xml:space="preserve">Easy</x:t>
        </x:is>
      </x:c>
      <x:c r="G70" s="13" t="inlineStr">
        <x:is>
          <x:t xml:space="preserve">Keep; no forecast expansion needed for core discovery.</x:t>
        </x:is>
      </x:c>
      <x:c r="H70" s="13" t="inlineStr">
        <x:is>
          <x:t xml:space="preserve">Explore audit ID 44; Hero weather is rendered with an unavailable state.</x:t>
        </x:is>
      </x:c>
      <x:c r="I70" s="13" t="inlineStr">
        <x:is>
          <x:t xml:space="preserve">See related gates</x:t>
        </x:is>
      </x:c>
    </x:row>
    <x:row r="71" ht="26" customHeight="1">
      <x:c r="A71" s="9" t="inlineStr">
        <x:is>
          <x:t xml:space="preserve">F45</x:t>
        </x:is>
      </x:c>
      <x:c r="B71" s="9" t="inlineStr">
        <x:is>
          <x:t xml:space="preserve">Capability</x:t>
        </x:is>
      </x:c>
      <x:c r="C71" s="9" t="inlineStr">
        <x:is>
          <x:t xml:space="preserve">Suggested-question cards</x:t>
        </x:is>
      </x:c>
      <x:c r="D71" s="9" t="inlineStr">
        <x:is>
          <x:t xml:space="preserve">Complete in code</x:t>
        </x:is>
      </x:c>
      <x:c r="E71" s="9" t="inlineStr">
        <x:is>
          <x:t xml:space="preserve">Later</x:t>
        </x:is>
      </x:c>
      <x:c r="F71" s="9" t="inlineStr">
        <x:is>
          <x:t xml:space="preserve">Easy</x:t>
        </x:is>
      </x:c>
      <x:c r="G71" s="9" t="inlineStr">
        <x:is>
          <x:t xml:space="preserve">Keep simple shortcuts; intelligence is tracked separately.</x:t>
        </x:is>
      </x:c>
      <x:c r="H71" s="9" t="inlineStr">
        <x:is>
          <x:t xml:space="preserve">Explore audit ID 45; Feed prompts fill/submit the same Plan it interaction.</x:t>
        </x:is>
      </x:c>
      <x:c r="I71" s="9" t="inlineStr">
        <x:is>
          <x:t xml:space="preserve">See related gates</x:t>
        </x:is>
      </x:c>
    </x:row>
    <x:row r="72" ht="26" customHeight="1">
      <x:c r="A72" s="13" t="inlineStr">
        <x:is>
          <x:t xml:space="preserve">F46</x:t>
        </x:is>
      </x:c>
      <x:c r="B72" s="13" t="inlineStr">
        <x:is>
          <x:t xml:space="preserve">Capability</x:t>
        </x:is>
      </x:c>
      <x:c r="C72" s="13" t="inlineStr">
        <x:is>
          <x:t xml:space="preserve">Late events / starting-soon shortcut</x:t>
        </x:is>
      </x:c>
      <x:c r="D72" s="13" t="inlineStr">
        <x:is>
          <x:t xml:space="preserve">Partial</x:t>
        </x:is>
      </x:c>
      <x:c r="E72" s="13" t="inlineStr">
        <x:is>
          <x:t xml:space="preserve">Later</x:t>
        </x:is>
      </x:c>
      <x:c r="F72" s="13" t="inlineStr">
        <x:is>
          <x:t xml:space="preserve">Easy</x:t>
        </x:is>
      </x:c>
      <x:c r="G72" s="13" t="inlineStr">
        <x:is>
          <x:t xml:space="preserve">Hide misleading time claims or connect a real time window.</x:t>
        </x:is>
      </x:c>
      <x:c r="H72" s="13" t="inlineStr">
        <x:is>
          <x:t xml:space="preserve">Explore audit ID 46; Starting-soon claim softened; live time window still absent.</x:t>
        </x:is>
      </x:c>
      <x:c r="I72" s="13" t="inlineStr">
        <x:is>
          <x:t xml:space="preserve">See related gates</x:t>
        </x:is>
      </x:c>
    </x:row>
    <x:row r="73" ht="26" customHeight="1">
      <x:c r="A73" s="9" t="inlineStr">
        <x:is>
          <x:t xml:space="preserve">F47</x:t>
        </x:is>
      </x:c>
      <x:c r="B73" s="9" t="inlineStr">
        <x:is>
          <x:t xml:space="preserve">Capability</x:t>
        </x:is>
      </x:c>
      <x:c r="C73" s="9" t="inlineStr">
        <x:is>
          <x:t xml:space="preserve">Drawer photo</x:t>
        </x:is>
      </x:c>
      <x:c r="D73" s="9" t="inlineStr">
        <x:is>
          <x:t xml:space="preserve">Pending</x:t>
        </x:is>
      </x:c>
      <x:c r="E73" s="9" t="inlineStr">
        <x:is>
          <x:t xml:space="preserve">Later</x:t>
        </x:is>
      </x:c>
      <x:c r="F73" s="9" t="inlineStr">
        <x:is>
          <x:t xml:space="preserve">Easy</x:t>
        </x:is>
      </x:c>
      <x:c r="G73" s="9" t="inlineStr">
        <x:is>
          <x:t xml:space="preserve">Pass verified image URL when core data is stable.</x:t>
        </x:is>
      </x:c>
      <x:c r="H73" s="9" t="inlineStr">
        <x:is>
          <x:t xml:space="preserve">Explore audit ID 47; Drawer displays a detail-photo placeholder rather than listing media.</x:t>
        </x:is>
      </x:c>
      <x:c r="I73" s="9" t="inlineStr">
        <x:is>
          <x:t xml:space="preserve">See related gates</x:t>
        </x:is>
      </x:c>
    </x:row>
    <x:row r="74" ht="26" customHeight="1">
      <x:c r="A74" s="13" t="inlineStr">
        <x:is>
          <x:t xml:space="preserve">F48</x:t>
        </x:is>
      </x:c>
      <x:c r="B74" s="13" t="inlineStr">
        <x:is>
          <x:t xml:space="preserve">Capability</x:t>
        </x:is>
      </x:c>
      <x:c r="C74" s="13" t="inlineStr">
        <x:is>
          <x:t xml:space="preserve">Drawer map / directions</x:t>
        </x:is>
      </x:c>
      <x:c r="D74" s="13" t="inlineStr">
        <x:is>
          <x:t xml:space="preserve">Pending</x:t>
        </x:is>
      </x:c>
      <x:c r="E74" s="13" t="inlineStr">
        <x:is>
          <x:t xml:space="preserve">Later</x:t>
        </x:is>
      </x:c>
      <x:c r="F74" s="13" t="inlineStr">
        <x:is>
          <x:t xml:space="preserve">Easy</x:t>
        </x:is>
      </x:c>
      <x:c r="G74" s="13" t="inlineStr">
        <x:is>
          <x:t xml:space="preserve">Reuse the existing Live/map handoff when useful.</x:t>
        </x:is>
      </x:c>
      <x:c r="H74" s="13" t="inlineStr">
        <x:is>
          <x:t xml:space="preserve">Explore audit ID 48; Drawer map is a labeled decorative block without coordinates or navigation.</x:t>
        </x:is>
      </x:c>
      <x:c r="I74" s="13" t="inlineStr">
        <x:is>
          <x:t xml:space="preserve">See related gates</x:t>
        </x:is>
      </x:c>
    </x:row>
    <x:row r="75" ht="26" customHeight="1">
      <x:c r="A75" s="9" t="inlineStr">
        <x:is>
          <x:t xml:space="preserve">F49</x:t>
        </x:is>
      </x:c>
      <x:c r="B75" s="9" t="inlineStr">
        <x:is>
          <x:t xml:space="preserve">Capability</x:t>
        </x:is>
      </x:c>
      <x:c r="C75" s="9" t="inlineStr">
        <x:is>
          <x:t xml:space="preserve">Who's going / friend quote / social proof</x:t>
        </x:is>
      </x:c>
      <x:c r="D75" s="9" t="inlineStr">
        <x:is>
          <x:t xml:space="preserve">Pending</x:t>
        </x:is>
      </x:c>
      <x:c r="E75" s="9" t="inlineStr">
        <x:is>
          <x:t xml:space="preserve">Later</x:t>
        </x:is>
      </x:c>
      <x:c r="F75" s="9" t="inlineStr">
        <x:is>
          <x:t xml:space="preserve">Easy</x:t>
        </x:is>
      </x:c>
      <x:c r="G75" s="9" t="inlineStr">
        <x:is>
          <x:t xml:space="preserve">Hide now; implement only with real consented attendance data.</x:t>
        </x:is>
      </x:c>
      <x:c r="H75" s="9" t="inlineStr">
        <x:is>
          <x:t xml:space="preserve">Explore audit ID 49; Drawer social fixtures removed locally; real attendance absent.</x:t>
        </x:is>
      </x:c>
      <x:c r="I75" s="9" t="inlineStr">
        <x:is>
          <x:t xml:space="preserve">See related gates</x:t>
        </x:is>
      </x:c>
    </x:row>
    <x:row r="76" ht="26" customHeight="1">
      <x:c r="A76" s="13" t="inlineStr">
        <x:is>
          <x:t xml:space="preserve">F50</x:t>
        </x:is>
      </x:c>
      <x:c r="B76" s="13" t="inlineStr">
        <x:is>
          <x:t xml:space="preserve">Capability</x:t>
        </x:is>
      </x:c>
      <x:c r="C76" s="13" t="inlineStr">
        <x:is>
          <x:t xml:space="preserve">Friends-going filter</x:t>
        </x:is>
      </x:c>
      <x:c r="D76" s="13" t="inlineStr">
        <x:is>
          <x:t xml:space="preserve">Pending</x:t>
        </x:is>
      </x:c>
      <x:c r="E76" s="13" t="inlineStr">
        <x:is>
          <x:t xml:space="preserve">Later</x:t>
        </x:is>
      </x:c>
      <x:c r="F76" s="13" t="inlineStr">
        <x:is>
          <x:t xml:space="preserve">Easy</x:t>
        </x:is>
      </x:c>
      <x:c r="G76" s="13" t="inlineStr">
        <x:is>
          <x:t xml:space="preserve">Defer until attendance is connected; hide the option meanwhile.</x:t>
        </x:is>
      </x:c>
      <x:c r="H76" s="13" t="inlineStr">
        <x:is>
          <x:t xml:space="preserve">Explore audit ID 50; No friend attendance dataset is used by this filter.</x:t>
        </x:is>
      </x:c>
      <x:c r="I76" s="13" t="inlineStr">
        <x:is>
          <x:t xml:space="preserve">See related gates</x:t>
        </x:is>
      </x:c>
    </x:row>
    <x:row r="77" ht="26" customHeight="1">
      <x:c r="A77" s="9" t="inlineStr">
        <x:is>
          <x:t xml:space="preserve">F51</x:t>
        </x:is>
      </x:c>
      <x:c r="B77" s="9" t="inlineStr">
        <x:is>
          <x:t xml:space="preserve">Capability</x:t>
        </x:is>
      </x:c>
      <x:c r="C77" s="9" t="inlineStr">
        <x:is>
          <x:t xml:space="preserve">Hold / Commit / Open invitation modes</x:t>
        </x:is>
      </x:c>
      <x:c r="D77" s="9" t="inlineStr">
        <x:is>
          <x:t xml:space="preserve">Pending</x:t>
        </x:is>
      </x:c>
      <x:c r="E77" s="9" t="inlineStr">
        <x:is>
          <x:t xml:space="preserve">Later</x:t>
        </x:is>
      </x:c>
      <x:c r="F77" s="9" t="inlineStr">
        <x:is>
          <x:t xml:space="preserve">Very hard</x:t>
        </x:is>
      </x:c>
      <x:c r="G77" s="9" t="inlineStr">
        <x:is>
          <x:t xml:space="preserve">Define the real group workflow before connecting these controls.</x:t>
        </x:is>
      </x:c>
      <x:c r="H77" s="9" t="inlineStr">
        <x:is>
          <x:t xml:space="preserve">Explore audit ID 51; Buttons have no mode-changing behavior or persisted semantics.</x:t>
        </x:is>
      </x:c>
      <x:c r="I77" s="9" t="inlineStr">
        <x:is>
          <x:t xml:space="preserve">See related gates</x:t>
        </x:is>
      </x:c>
    </x:row>
    <x:row r="78" ht="26" customHeight="1">
      <x:c r="A78" s="13" t="inlineStr">
        <x:is>
          <x:t xml:space="preserve">F52</x:t>
        </x:is>
      </x:c>
      <x:c r="B78" s="13" t="inlineStr">
        <x:is>
          <x:t xml:space="preserve">Capability</x:t>
        </x:is>
      </x:c>
      <x:c r="C78" s="13" t="inlineStr">
        <x:is>
          <x:t xml:space="preserve">RSVP deadline / majority vote</x:t>
        </x:is>
      </x:c>
      <x:c r="D78" s="13" t="inlineStr">
        <x:is>
          <x:t xml:space="preserve">Pending</x:t>
        </x:is>
      </x:c>
      <x:c r="E78" s="13" t="inlineStr">
        <x:is>
          <x:t xml:space="preserve">Later</x:t>
        </x:is>
      </x:c>
      <x:c r="F78" s="13" t="inlineStr">
        <x:is>
          <x:t xml:space="preserve">Very hard</x:t>
        </x:is>
      </x:c>
      <x:c r="G78" s="13" t="inlineStr">
        <x:is>
          <x:t xml:space="preserve">Reuse authenticated poll infrastructure after activity invites work.</x:t>
        </x:is>
      </x:c>
      <x:c r="H78" s="13" t="inlineStr">
        <x:is>
          <x:t xml:space="preserve">Explore audit ID 52; Thursday 8 PM is fixed; Change has no handler and no poll is created.</x:t>
        </x:is>
      </x:c>
      <x:c r="I78" s="13" t="inlineStr">
        <x:is>
          <x:t xml:space="preserve">See related gates</x:t>
        </x:is>
      </x:c>
    </x:row>
    <x:row r="79" ht="26" customHeight="1">
      <x:c r="A79" s="9" t="inlineStr">
        <x:is>
          <x:t xml:space="preserve">F53</x:t>
        </x:is>
      </x:c>
      <x:c r="B79" s="9" t="inlineStr">
        <x:is>
          <x:t xml:space="preserve">Capability</x:t>
        </x:is>
      </x:c>
      <x:c r="C79" s="9" t="inlineStr">
        <x:is>
          <x:t xml:space="preserve">Split cost / create expense</x:t>
        </x:is>
      </x:c>
      <x:c r="D79" s="9" t="inlineStr">
        <x:is>
          <x:t xml:space="preserve">Pending</x:t>
        </x:is>
      </x:c>
      <x:c r="E79" s="9" t="inlineStr">
        <x:is>
          <x:t xml:space="preserve">Later</x:t>
        </x:is>
      </x:c>
      <x:c r="F79" s="9" t="inlineStr">
        <x:is>
          <x:t xml:space="preserve">Very hard</x:t>
        </x:is>
      </x:c>
      <x:c r="G79" s="9" t="inlineStr">
        <x:is>
          <x:t xml:space="preserve">Connect a real group/expense contract only after a confirmed cost exists.</x:t>
        </x:is>
      </x:c>
      <x:c r="H79" s="9" t="inlineStr">
        <x:is>
          <x:t xml:space="preserve">Explore audit ID 53; Fake split success removed; real expense creation absent.</x:t>
        </x:is>
      </x:c>
      <x:c r="I79" s="9" t="inlineStr">
        <x:is>
          <x:t xml:space="preserve">See related gates</x:t>
        </x:is>
      </x:c>
    </x:row>
    <x:row r="80" ht="26" customHeight="1">
      <x:c r="A80" s="13" t="inlineStr">
        <x:is>
          <x:t xml:space="preserve">F54</x:t>
        </x:is>
      </x:c>
      <x:c r="B80" s="13" t="inlineStr">
        <x:is>
          <x:t xml:space="preserve">Capability</x:t>
        </x:is>
      </x:c>
      <x:c r="C80" s="13" t="inlineStr">
        <x:is>
          <x:t xml:space="preserve">Region tabs and destination carousel</x:t>
        </x:is>
      </x:c>
      <x:c r="D80" s="13" t="inlineStr">
        <x:is>
          <x:t xml:space="preserve">Complete in code</x:t>
        </x:is>
      </x:c>
      <x:c r="E80" s="13" t="inlineStr">
        <x:is>
          <x:t xml:space="preserve">Later</x:t>
        </x:is>
      </x:c>
      <x:c r="F80" s="13" t="inlineStr">
        <x:is>
          <x:t xml:space="preserve">Easy</x:t>
        </x:is>
      </x:c>
      <x:c r="G80" s="13" t="inlineStr">
        <x:is>
          <x:t xml:space="preserve">Keep curated browsing; no global expansion required for core Explore.</x:t>
        </x:is>
      </x:c>
      <x:c r="H80" s="13" t="inlineStr">
        <x:is>
          <x:t xml:space="preserve">Explore audit ID 54; USA, Canada, Mexico, Europe, Oceania tabs and reel scroll controls work on curated data.</x:t>
        </x:is>
      </x:c>
      <x:c r="I80" s="13" t="inlineStr">
        <x:is>
          <x:t xml:space="preserve">See related gates</x:t>
        </x:is>
      </x:c>
    </x:row>
    <x:row r="81" ht="26" customHeight="1">
      <x:c r="A81" s="9" t="inlineStr">
        <x:is>
          <x:t xml:space="preserve">F55</x:t>
        </x:is>
      </x:c>
      <x:c r="B81" s="9" t="inlineStr">
        <x:is>
          <x:t xml:space="preserve">Capability</x:t>
        </x:is>
      </x:c>
      <x:c r="C81" s="9" t="inlineStr">
        <x:is>
          <x:t xml:space="preserve">All countries destination directory</x:t>
        </x:is>
      </x:c>
      <x:c r="D81" s="9" t="inlineStr">
        <x:is>
          <x:t xml:space="preserve">Partial</x:t>
        </x:is>
      </x:c>
      <x:c r="E81" s="9" t="inlineStr">
        <x:is>
          <x:t xml:space="preserve">Later</x:t>
        </x:is>
      </x:c>
      <x:c r="F81" s="9" t="inlineStr">
        <x:is>
          <x:t xml:space="preserve">Easy</x:t>
        </x:is>
      </x:c>
      <x:c r="G81" s="9" t="inlineStr">
        <x:is>
          <x:t xml:space="preserve">Rename to supported destinations or expand later.</x:t>
        </x:is>
      </x:c>
      <x:c r="H81" s="9" t="inlineStr">
        <x:is>
          <x:t xml:space="preserve">Explore audit ID 55; Directory works for five curated regions; it is not all countries.</x:t>
        </x:is>
      </x:c>
      <x:c r="I81" s="9" t="inlineStr">
        <x:is>
          <x:t xml:space="preserve">See related gates</x:t>
        </x:is>
      </x:c>
    </x:row>
    <x:row r="82" ht="26" customHeight="1">
      <x:c r="A82" s="13" t="inlineStr">
        <x:is>
          <x:t xml:space="preserve">F56</x:t>
        </x:is>
      </x:c>
      <x:c r="B82" s="13" t="inlineStr">
        <x:is>
          <x:t xml:space="preserve">Capability</x:t>
        </x:is>
      </x:c>
      <x:c r="C82" s="13" t="inlineStr">
        <x:is>
          <x:t xml:space="preserve">Surprise me destination choice</x:t>
        </x:is>
      </x:c>
      <x:c r="D82" s="13" t="inlineStr">
        <x:is>
          <x:t xml:space="preserve">Partial</x:t>
        </x:is>
      </x:c>
      <x:c r="E82" s="13" t="inlineStr">
        <x:is>
          <x:t xml:space="preserve">Later</x:t>
        </x:is>
      </x:c>
      <x:c r="F82" s="13" t="inlineStr">
        <x:is>
          <x:t xml:space="preserve">Easy</x:t>
        </x:is>
      </x:c>
      <x:c r="G82" s="13" t="inlineStr">
        <x:is>
          <x:t xml:space="preserve">Label as random or later add preference-based selection.</x:t>
        </x:is>
      </x:c>
      <x:c r="H82" s="13" t="inlineStr">
        <x:is>
          <x:t xml:space="preserve">Explore audit ID 56; Random city selection works; copy calls it a Wayra pick although no AI runs.</x:t>
        </x:is>
      </x:c>
      <x:c r="I82" s="13" t="inlineStr">
        <x:is>
          <x:t xml:space="preserve">See related gates</x:t>
        </x:is>
      </x:c>
    </x:row>
    <x:row r="83" ht="26" customHeight="1">
      <x:c r="A83" s="9" t="inlineStr">
        <x:is>
          <x:t xml:space="preserve">F57</x:t>
        </x:is>
      </x:c>
      <x:c r="B83" s="9" t="inlineStr">
        <x:is>
          <x:t xml:space="preserve">Capability</x:t>
        </x:is>
      </x:c>
      <x:c r="C83" s="9" t="inlineStr">
        <x:is>
          <x:t xml:space="preserve">Destination popularity / trending / flight-time badges</x:t>
        </x:is>
      </x:c>
      <x:c r="D83" s="9" t="inlineStr">
        <x:is>
          <x:t xml:space="preserve">Pending</x:t>
        </x:is>
      </x:c>
      <x:c r="E83" s="9" t="inlineStr">
        <x:is>
          <x:t xml:space="preserve">Later</x:t>
        </x:is>
      </x:c>
      <x:c r="F83" s="9" t="inlineStr">
        <x:is>
          <x:t xml:space="preserve">Easy</x:t>
        </x:is>
      </x:c>
      <x:c r="G83" s="9" t="inlineStr">
        <x:is>
          <x:t xml:space="preserve">Remove unsupported factual claims; defer real popularity scoring.</x:t>
        </x:is>
      </x:c>
      <x:c r="H83" s="9" t="inlineStr">
        <x:is>
          <x:t xml:space="preserve">Explore audit ID 57; Badge strings such as You're here, Trending, Festival week, 2 hr flight are static.</x:t>
        </x:is>
      </x:c>
      <x:c r="I83" s="9" t="inlineStr">
        <x:is>
          <x:t xml:space="preserve">See related gates</x:t>
        </x:is>
      </x:c>
    </x:row>
    <x:row r="84" ht="26" customHeight="1">
      <x:c r="A84" s="13" t="inlineStr">
        <x:is>
          <x:t xml:space="preserve">F58</x:t>
        </x:is>
      </x:c>
      <x:c r="B84" s="13" t="inlineStr">
        <x:is>
          <x:t xml:space="preserve">Capability</x:t>
        </x:is>
      </x:c>
      <x:c r="C84" s="13" t="inlineStr">
        <x:is>
          <x:t xml:space="preserve">Destination reel imagery</x:t>
        </x:is>
      </x:c>
      <x:c r="D84" s="13" t="inlineStr">
        <x:is>
          <x:t xml:space="preserve">Pending</x:t>
        </x:is>
      </x:c>
      <x:c r="E84" s="13" t="inlineStr">
        <x:is>
          <x:t xml:space="preserve">Later</x:t>
        </x:is>
      </x:c>
      <x:c r="F84" s="13" t="inlineStr">
        <x:is>
          <x:t xml:space="preserve">Easy</x:t>
        </x:is>
      </x:c>
      <x:c r="G84" s="13" t="inlineStr">
        <x:is>
          <x:t xml:space="preserve">Add licensed/location-relevant images after functional priorities.</x:t>
        </x:is>
      </x:c>
      <x:c r="H84" s="13" t="inlineStr">
        <x:is>
          <x:t xml:space="preserve">Explore audit ID 58; City cards show reel 600×870 placeholders.</x:t>
        </x:is>
      </x:c>
      <x:c r="I84" s="13" t="inlineStr">
        <x:is>
          <x:t xml:space="preserve">See related gates</x:t>
        </x:is>
      </x:c>
    </x:row>
  </x:sheetData>
  <x:conditionalFormatting sqref="D9:D84">
    <x:cfRule type="containsText" dxfId="0" priority="1" operator="containsText" text="Complete in code"/>
    <x:cfRule type="containsText" dxfId="1" priority="2" operator="containsText" text="Partial"/>
    <x:cfRule type="containsText" dxfId="2" priority="3" operator="containsText" text="Pending"/>
    <x:cfRule type="containsText" dxfId="2" priority="4" operator="containsText" text="Not started"/>
  </x:conditionalFormatting>
  <x:conditionalFormatting sqref="E9:E84">
    <x:cfRule type="containsText" dxfId="1" priority="5" operator="containsText" text="Critical"/>
  </x:conditionalFormatting>
  <x:conditionalFormatting sqref="F9:F84">
    <x:cfRule type="containsText" dxfId="5" priority="6" operator="containsText" text="Very hard"/>
  </x:conditionalFormatting>
  <x:dataValidations count="3">
    <x:dataValidation type="list" allowBlank="0" showDropDown="0" showInputMessage="0" showErrorMessage="0" sqref="D9:D84">
      <x:formula1>"Complete in code,Partial,Pending,Not started"</x:formula1>
    </x:dataValidation>
    <x:dataValidation type="list" allowBlank="0" showDropDown="0" showInputMessage="0" showErrorMessage="0" sqref="E9:E84">
      <x:formula1>"Critical,High,Later"</x:formula1>
    </x:dataValidation>
    <x:dataValidation type="list" allowBlank="0" showDropDown="0" showInputMessage="0" showErrorMessage="0" sqref="F9:F84">
      <x:formula1>"Very hard,Hard,Moderate,Easy"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b0752e8d38416c"/>
  </x:tableParts>
</x:worksheet>
</file>