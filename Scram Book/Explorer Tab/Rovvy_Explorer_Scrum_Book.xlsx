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Explorer Tasks" sheetId="1" state="visible" r:id="rId1"/>
  </sheets>
  <definedNames/>
</workbook>
</file>

<file path=xl/styles.xml><?xml version="1.0" encoding="utf-8"?>
<styleSheet xmlns="http://schemas.openxmlformats.org/spreadsheetml/2006/main">
  <numFmts count="0"/>
  <fonts count="7">
    <font>
      <name val="Carlito"/>
      <sz val="11"/>
    </font>
    <font>
      <name val="Arial"/>
      <b val="1"/>
      <color rgb="FF173D36"/>
      <sz val="14"/>
    </font>
    <font>
      <name val="Arial"/>
      <i val="1"/>
      <color rgb="FF53645E"/>
      <sz val="10"/>
    </font>
    <font>
      <name val="Arial"/>
      <b val="1"/>
      <color rgb="FF173D36"/>
      <sz val="10"/>
    </font>
    <font>
      <name val="Arial"/>
      <color rgb="FF394943"/>
      <sz val="10"/>
    </font>
    <font>
      <name val="Arial"/>
      <color rgb="FF25352F"/>
      <sz val="10"/>
    </font>
    <font>
      <name val="Arial"/>
      <b val="1"/>
      <color rgb="FFFFFFFF"/>
      <sz val="10"/>
    </font>
  </fonts>
  <fills count="8">
    <fill>
      <patternFill/>
    </fill>
    <fill>
      <patternFill patternType="gray125"/>
    </fill>
    <fill>
      <patternFill patternType="solid">
        <fgColor rgb="FFFCE8E6"/>
      </patternFill>
    </fill>
    <fill>
      <patternFill patternType="solid">
        <fgColor rgb="FFFFF2B3"/>
      </patternFill>
    </fill>
    <fill>
      <patternFill patternType="solid">
        <fgColor rgb="FFDDF3E3"/>
      </patternFill>
    </fill>
    <fill>
      <patternFill patternType="solid">
        <fgColor rgb="FFE9ECEB"/>
      </patternFill>
    </fill>
    <fill>
      <patternFill patternType="solid">
        <fgColor rgb="FF173D36"/>
      </patternFill>
    </fill>
    <fill>
      <patternFill patternType="solid">
        <fgColor rgb="FFF6F8F7"/>
      </patternFill>
    </fill>
  </fills>
  <borders count="1">
    <border/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2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4" fillId="5" borderId="0" pivotButton="0" quotePrefix="0" xfId="0"/>
    <xf numFmtId="0" fontId="5" fillId="0" borderId="0" pivotButton="0" quotePrefix="0" xfId="0"/>
    <xf numFmtId="0" fontId="5" fillId="6" borderId="0" pivotButton="0" quotePrefix="0" xfId="0"/>
    <xf numFmtId="0" fontId="6" fillId="6" borderId="0" pivotButton="0" quotePrefix="0" xfId="0"/>
    <xf numFmtId="0" fontId="6" fillId="6" borderId="0" applyAlignment="1" pivotButton="0" quotePrefix="0" xfId="0">
      <alignment vertical="center"/>
    </xf>
    <xf numFmtId="0" fontId="5" fillId="7" borderId="0" pivotButton="0" quotePrefix="0" xfId="0"/>
  </cellXfs>
  <cellStyles count="1">
    <cellStyle name="Normal" xfId="0"/>
  </cellStyles>
  <dxfs count="6">
    <dxf>
      <font>
        <b val="1"/>
        <color rgb="FF196239"/>
      </font>
      <fill>
        <patternFill>
          <bgColor rgb="FFDDF3E3"/>
        </patternFill>
      </fill>
    </dxf>
    <dxf>
      <font>
        <b val="1"/>
        <color rgb="FF755600"/>
      </font>
      <fill>
        <patternFill>
          <bgColor rgb="FFFFF2B3"/>
        </patternFill>
      </fill>
    </dxf>
    <dxf>
      <font>
        <color rgb="FF4B5954"/>
      </font>
      <fill>
        <patternFill>
          <bgColor rgb="FFE9ECEB"/>
        </patternFill>
      </fill>
    </dxf>
    <dxf>
      <font>
        <color rgb="FF4B5954"/>
      </font>
      <fill>
        <patternFill>
          <bgColor rgb="FFE9ECEB"/>
        </patternFill>
      </fill>
    </dxf>
    <dxf>
      <font>
        <b val="1"/>
        <color rgb="FF755600"/>
      </font>
      <fill>
        <patternFill>
          <bgColor rgb="FFFFF2B3"/>
        </patternFill>
      </fill>
    </dxf>
    <dxf>
      <font>
        <b val="1"/>
        <color rgb="FFA32925"/>
      </font>
      <fill>
        <patternFill>
          <bgColor rgb="FFFCE8E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ExplorerTasks" displayName="ExplorerTasks" ref="A8:I84" headerRowCount="1" totalsRowCount="0" totalsRowShown="0">
  <autoFilter ref="A8:I84"/>
  <tableColumns count="9">
    <tableColumn id="1" name="ID"/>
    <tableColumn id="2" name="Workstream"/>
    <tableColumn id="3" name="Task / feature"/>
    <tableColumn id="4" name="Status"/>
    <tableColumn id="5" name="Importance"/>
    <tableColumn id="6" name="Difficulty"/>
    <tableColumn id="7" name="Acceptance / next action"/>
    <tableColumn id="8" name="Evidence / current finding"/>
    <tableColumn id="9" name="Dependenc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73D36"/>
    <outlinePr summaryBelow="1" summaryRight="1"/>
    <pageSetUpPr/>
  </sheetPr>
  <dimension ref="A2:I84"/>
  <sheetViews>
    <sheetView showGridLines="0" workbookViewId="0">
      <pane ySplit="8" topLeftCell="A9" activePane="bottomLeft" state="frozen"/>
      <selection activeCell="A1" sqref="A1"/>
    </sheetView>
  </sheetViews>
  <sheetFormatPr baseColWidth="8" defaultRowHeight="15"/>
  <cols>
    <col width="9" customWidth="1" min="1" max="1"/>
    <col width="17" customWidth="1" min="2" max="2"/>
    <col width="45" customWidth="1" min="3" max="3"/>
    <col width="19" customWidth="1" min="4" max="4"/>
    <col width="15" customWidth="1" min="5" max="5"/>
    <col width="14" customWidth="1" min="6" max="6"/>
    <col width="78" customWidth="1" min="7" max="7"/>
    <col width="76" customWidth="1" min="8" max="8"/>
    <col width="28" customWidth="1" min="9" max="9"/>
  </cols>
  <sheetData>
    <row r="2">
      <c r="A2" s="1" t="inlineStr">
        <is>
          <t>Rovvy Explorer · Scrum task tracker</t>
        </is>
      </c>
    </row>
    <row r="3">
      <c r="A3" s="2" t="inlineStr">
        <is>
          <t>As of 24 Sep 2026 — 76 tasks; 33 Complete in code, 23 Partial, 15 Pending, 5 Not started (status column D). “Complete in code” is not production or browser QA.</t>
        </is>
      </c>
    </row>
    <row r="4">
      <c r="A4" t="inlineStr">
        <is>
          <t>UI availability</t>
        </is>
      </c>
      <c r="B4" t="inlineStr">
        <is>
          <t>G08 working · F15 partial</t>
        </is>
      </c>
      <c r="C4" t="inlineStr">
        <is>
          <t>Unknown price/hours/photo/availability UI</t>
        </is>
      </c>
      <c r="D4" t="inlineStr">
        <is>
          <t>Partial in product</t>
        </is>
      </c>
      <c r="E4" t="inlineStr">
        <is>
          <t>Critical</t>
        </is>
      </c>
      <c r="F4" t="inlineStr">
        <is>
          <t>Medium</t>
        </is>
      </c>
      <c r="G4" t="inlineStr">
        <is>
          <t>Do not show open-now, capacity, or bookable without verified provider/spine fields; keep G08 honest copy.</t>
        </is>
      </c>
      <c r="H4" t="inlineStr">
        <is>
          <t>2026-09-24 audit: G08 unknown-state copy — working in code (Vitest explore-unknown-field-states, explore-availability-copy). F15 open-now/capacity/walk-in — not implemented; Overture place cards show Hours unknown / Check provider unless spine hours exist; Ticketmaster Sold out when provider says so. UI functions: normalizeListingAvailability, placeCardAvailability, placeHoursLabel, hubListingBadge, drawerHoursSourceLabel, categoryCardScheduleLine; exploreEventPriceState, exploreSlotPriceLabel, exploreListingPhotoState, exploreInventoryPhotoDisplay, exploreDrawerHoursState, exploreAvailabilityFieldState, exploreDrawerProviderActionLabel, exploreSlotMatchesNumericPriceChip; wired via eventToSlot/placeToSlot → ExploreDetailDrawer + category cards + ExploreCardImage fallbackMode=unknown. Explore Vitest 103/17; tsc 0.</t>
        </is>
      </c>
      <c r="I4" t="inlineStr">
        <is>
          <t>G08, F15, F13, F11</t>
        </is>
      </c>
    </row>
    <row r="5">
      <c r="A5" s="3" t="inlineStr">
        <is>
          <t>Tasks</t>
        </is>
      </c>
      <c r="B5" s="3" t="n">
        <v>76</v>
      </c>
      <c r="C5" s="3" t="inlineStr">
        <is>
          <t>Complete in code</t>
        </is>
      </c>
      <c r="D5" s="3">
        <f>COUNTIF(D9:D84,"Complete in code")</f>
        <v/>
      </c>
      <c r="E5" s="3" t="inlineStr">
        <is>
          <t>Partial</t>
        </is>
      </c>
      <c r="F5" s="3">
        <f>COUNTIF(D9:D84,"Partial")</f>
        <v/>
      </c>
      <c r="G5" s="3" t="inlineStr">
        <is>
          <t>Pending / not started</t>
        </is>
      </c>
      <c r="H5" s="3">
        <f>COUNTIF(D9:D84,"Pending")+COUNTIF(D9:D84,"Not started")</f>
        <v/>
      </c>
      <c r="I5" s="3" t="str"/>
    </row>
    <row r="6">
      <c r="A6" s="4" t="inlineStr">
        <is>
          <t>Color key</t>
        </is>
      </c>
      <c r="B6" s="5" t="inlineStr">
        <is>
          <t>Red = Very hard difficulty</t>
        </is>
      </c>
      <c r="C6" s="4" t="str"/>
      <c r="D6" s="6" t="inlineStr">
        <is>
          <t>Yellow = Critical importance / Partial status</t>
        </is>
      </c>
      <c r="E6" s="4" t="str"/>
      <c r="F6" s="7" t="inlineStr">
        <is>
          <t>Green = Complete in code</t>
        </is>
      </c>
      <c r="G6" s="4" t="str"/>
      <c r="H6" s="8" t="inlineStr">
        <is>
          <t>Gray = Pending / not started</t>
        </is>
      </c>
      <c r="I6" s="4" t="str"/>
    </row>
    <row r="7">
      <c r="A7" s="2" t="inlineStr">
        <is>
          <t>Task order: gates first, then all 58 audited capabilities. Status, importance and difficulty are independent fields.</t>
        </is>
      </c>
    </row>
    <row r="8" ht="29" customHeight="1">
      <c r="A8" s="12" t="inlineStr">
        <is>
          <t>ID</t>
        </is>
      </c>
      <c r="B8" s="12" t="inlineStr">
        <is>
          <t>Workstream</t>
        </is>
      </c>
      <c r="C8" s="12" t="inlineStr">
        <is>
          <t>Task / feature</t>
        </is>
      </c>
      <c r="D8" s="12" t="inlineStr">
        <is>
          <t>Status</t>
        </is>
      </c>
      <c r="E8" s="12" t="inlineStr">
        <is>
          <t>Importance</t>
        </is>
      </c>
      <c r="F8" s="12" t="inlineStr">
        <is>
          <t>Difficulty</t>
        </is>
      </c>
      <c r="G8" s="12" t="inlineStr">
        <is>
          <t>Acceptance / next action</t>
        </is>
      </c>
      <c r="H8" s="12" t="inlineStr">
        <is>
          <t>Evidence / current finding</t>
        </is>
      </c>
      <c r="I8" s="12" t="inlineStr">
        <is>
          <t>Dependency</t>
        </is>
      </c>
    </row>
    <row r="9" ht="26" customHeight="1">
      <c r="A9" s="9" t="inlineStr">
        <is>
          <t>G01</t>
        </is>
      </c>
      <c r="B9" s="9" t="inlineStr">
        <is>
          <t>Data spine</t>
        </is>
      </c>
      <c r="C9" s="9" t="inlineStr">
        <is>
          <t>Make Overture Places the primary Explore inventory source</t>
        </is>
      </c>
      <c r="D9" s="9" t="inlineStr">
        <is>
          <t>Complete in code</t>
        </is>
      </c>
      <c r="E9" s="9" t="inlineStr">
        <is>
          <t>Critical</t>
        </is>
      </c>
      <c r="F9" s="9" t="inlineStr">
        <is>
          <t>Very hard</t>
        </is>
      </c>
      <c r="G9" s="9" t="inlineStr">
        <is>
          <t>Serve city/radius results from Overture-backed Supabase hot index; trace every card to source.</t>
        </is>
      </c>
      <c r="H9" s="9" t="inlineStr">
        <is>
          <t>2026-09-24: GET /api/v1/explore/places -&gt; ExplorePlaceSpineService bounded SQL (LIMIT :lim; spatial ORDER BY distance/confidence/gers_id; city ORDER BY confidence/name/gers_id). migrations/007_places_city_category_explore_idx.sql. No FS/OSM route fallback; hub lat/lon/radius_m/limit + gers_id. pytest 42+ focused backend; Explore Vitest 103/17; tsc 0. Supabase migration apply + live data load not run here.</t>
        </is>
      </c>
      <c r="I9" s="9" t="inlineStr">
        <is>
          <t>Before cards, counts and group actions</t>
        </is>
      </c>
    </row>
    <row r="10" ht="26" customHeight="1">
      <c r="A10" s="13" t="inlineStr">
        <is>
          <t>G02</t>
        </is>
      </c>
      <c r="B10" s="13" t="inlineStr">
        <is>
          <t>Data spine</t>
        </is>
      </c>
      <c r="C10" s="13" t="inlineStr">
        <is>
          <t>Build Supabase hot-index ingestion and refresh</t>
        </is>
      </c>
      <c r="D10" s="13" t="inlineStr">
        <is>
          <t>Complete in code</t>
        </is>
      </c>
      <c r="E10" s="13" t="inlineStr">
        <is>
          <t>Critical</t>
        </is>
      </c>
      <c r="F10" s="13" t="inlineStr">
        <is>
          <t>Very hard</t>
        </is>
      </c>
      <c r="G10" s="13" t="inlineStr">
        <is>
          <t>Upsert Overture releases by gers_id; define freshness and query contract for Explore.</t>
        </is>
      </c>
      <c r="H10" s="13" t="inlineStr">
        <is>
          <t>2026-09-24: migrations/006_place_ingest_runs.sql (+ place_ingest_run_cities coverage); 04_load/05_resync begin ingest before mutations, fail closed on errors, idempotent succeeded scope; freshness joins city coverage (no NULL city_slug wildcard). 06_publish_places_r2 fail-closed + DuckDB parquet row-count verify. No production R2 upload in tests.</t>
        </is>
      </c>
      <c r="I10" s="13" t="inlineStr">
        <is>
          <t>G01</t>
        </is>
      </c>
    </row>
    <row r="11" ht="26" customHeight="1">
      <c r="A11" s="9" t="inlineStr">
        <is>
          <t>G03</t>
        </is>
      </c>
      <c r="B11" s="9" t="inlineStr">
        <is>
          <t>Data spine</t>
        </is>
      </c>
      <c r="C11" s="9" t="inlineStr">
        <is>
          <t>Connect R2 cold regional overlay / archive path</t>
        </is>
      </c>
      <c r="D11" s="9" t="inlineStr">
        <is>
          <t>Not started</t>
        </is>
      </c>
      <c r="E11" s="9" t="inlineStr">
        <is>
          <t>Critical</t>
        </is>
      </c>
      <c r="F11" s="9" t="inlineStr">
        <is>
          <t>Very hard</t>
        </is>
      </c>
      <c r="G11" s="9" t="inlineStr">
        <is>
          <t>Fetch outside hot metros through R2 cold path with measured handoff and provenance.</t>
        </is>
      </c>
      <c r="H11" s="9" t="inlineStr">
        <is>
          <t>data-spine.md; Live Tab spine strategy</t>
        </is>
      </c>
      <c r="I11" s="9" t="inlineStr">
        <is>
          <t>G01–G02</t>
        </is>
      </c>
    </row>
    <row r="12" ht="26" customHeight="1">
      <c r="A12" s="13" t="inlineStr">
        <is>
          <t>G04</t>
        </is>
      </c>
      <c r="B12" s="13" t="inlineStr">
        <is>
          <t>Data spine</t>
        </is>
      </c>
      <c r="C12" s="13" t="inlineStr">
        <is>
          <t>Remove Foursquare from required primary discovery path</t>
        </is>
      </c>
      <c r="D12" s="13" t="inlineStr">
        <is>
          <t>Not started</t>
        </is>
      </c>
      <c r="E12" s="13" t="inlineStr">
        <is>
          <t>Critical</t>
        </is>
      </c>
      <c r="F12" s="13" t="inlineStr">
        <is>
          <t>Hard</t>
        </is>
      </c>
      <c r="G12" s="13" t="inlineStr">
        <is>
          <t>No Foursquare-first card path; review optional enrichment terms before later use.</t>
        </is>
      </c>
      <c r="H12" s="13" t="inlineStr">
        <is>
          <t>data-spine.md; user review 2026-09-22</t>
        </is>
      </c>
      <c r="I12" s="13" t="inlineStr">
        <is>
          <t>G01</t>
        </is>
      </c>
    </row>
    <row r="13" ht="26" customHeight="1">
      <c r="A13" s="9" t="inlineStr">
        <is>
          <t>G05</t>
        </is>
      </c>
      <c r="B13" s="9" t="inlineStr">
        <is>
          <t>Identity</t>
        </is>
      </c>
      <c r="C13" s="9" t="inlineStr">
        <is>
          <t>Carry Overture gers_id through API, mapper and cards</t>
        </is>
      </c>
      <c r="D13" s="9" t="inlineStr">
        <is>
          <t>Not started</t>
        </is>
      </c>
      <c r="E13" s="9" t="inlineStr">
        <is>
          <t>Critical</t>
        </is>
      </c>
      <c r="F13" s="9" t="inlineStr">
        <is>
          <t>Hard</t>
        </is>
      </c>
      <c r="G13" s="9" t="inlineStr">
        <is>
          <t>Expose stable gers_id for place identity, joins and refresh.</t>
        </is>
      </c>
      <c r="H13" s="9" t="inlineStr">
        <is>
          <t>data-spine.md; user review 2026-09-22</t>
        </is>
      </c>
      <c r="I13" s="9" t="inlineStr">
        <is>
          <t>G01</t>
        </is>
      </c>
    </row>
    <row r="14" ht="26" customHeight="1">
      <c r="A14" s="13" t="inlineStr">
        <is>
          <t>G06</t>
        </is>
      </c>
      <c r="B14" s="13" t="inlineStr">
        <is>
          <t>Identity</t>
        </is>
      </c>
      <c r="C14" s="13" t="inlineStr">
        <is>
          <t>Deduplicate same place across providers</t>
        </is>
      </c>
      <c r="D14" s="13" t="inlineStr">
        <is>
          <t>Not started</t>
        </is>
      </c>
      <c r="E14" s="13" t="inlineStr">
        <is>
          <t>Critical</t>
        </is>
      </c>
      <c r="F14" s="13" t="inlineStr">
        <is>
          <t>Hard</t>
        </is>
      </c>
      <c r="G14" s="13" t="inlineStr">
        <is>
          <t>Use gers_id or verified crosswalk; same place appears once even with two provider IDs.</t>
        </is>
      </c>
      <c r="H14" s="13" t="inlineStr">
        <is>
          <t>Audit ID 26; user review 2026-09-22</t>
        </is>
      </c>
      <c r="I14" s="13" t="inlineStr">
        <is>
          <t>G05</t>
        </is>
      </c>
    </row>
    <row r="15" ht="26" customHeight="1">
      <c r="A15" s="9" t="inlineStr">
        <is>
          <t>G07</t>
        </is>
      </c>
      <c r="B15" s="9" t="inlineStr">
        <is>
          <t>Events</t>
        </is>
      </c>
      <c r="C15" s="9" t="inlineStr">
        <is>
          <t>Keep generated seasonal suggestions out of event inventory</t>
        </is>
      </c>
      <c r="D15" s="9" t="inlineStr">
        <is>
          <t>Complete in code</t>
        </is>
      </c>
      <c r="E15" s="9" t="inlineStr">
        <is>
          <t>Critical</t>
        </is>
      </c>
      <c r="F15" s="9" t="inlineStr">
        <is>
          <t>Hard</t>
        </is>
      </c>
      <c r="G15" s="9" t="inlineStr">
        <is>
          <t>Editorial suggestions have separate labels and never supply inventory counts, today/noon or free prices.</t>
        </is>
      </c>
      <c r="H15" s="9" t="inlineStr">
        <is>
          <t>2026-09-24: search_events_extended + GET /explore/events defensive filter; editorial isolated on /seasonal-events-ai; hub fetchExploreHub strips generated rows before mapping/counts. Predicate: ai_fallback, ai_*, exact ai, editorial markers, ai-ev-/editorial- IDs; does not match the substring 'ai' in ticketmaster. Explore Vitest fixtures use live dateRangeForWhen (explore-test-date-fixtures.ts; calendar regression). pytest tests/test_explore_events_endpoint.py: 16 passed. Explore Vitest: 86 passed (14 files); tsc --noEmit: 0 errors.</t>
        </is>
      </c>
      <c r="I15" s="9" t="inlineStr">
        <is>
          <t>G01</t>
        </is>
      </c>
    </row>
    <row r="16" ht="26" customHeight="1">
      <c r="A16" s="13" t="inlineStr">
        <is>
          <t>G08</t>
        </is>
      </c>
      <c r="B16" s="13" t="inlineStr">
        <is>
          <t>Design truth</t>
        </is>
      </c>
      <c r="C16" s="13" t="inlineStr">
        <is>
          <t>Design unknown price, rating, hours, photo and availability states</t>
        </is>
      </c>
      <c r="D16" s="13" t="inlineStr">
        <is>
          <t>Complete in code</t>
        </is>
      </c>
      <c r="E16" s="13" t="inlineStr">
        <is>
          <t>Critical</t>
        </is>
      </c>
      <c r="F16" s="13" t="inlineStr">
        <is>
          <t>Hard</t>
        </is>
      </c>
      <c r="G16" s="13" t="inlineStr">
        <is>
          <t>Every card and drawer renders missing fields explicitly; no invented zeros, stars or open status.</t>
        </is>
      </c>
      <c r="H16" s="13" t="inlineStr">
        <is>
          <t>2026-09-24: explore-listing-field-state.ts unified unknown copy: Price unknown, Photo unavailable, Hours unknown, Check provider, Sold out; no Unsplash stock for inventory (ExploreCardImage fallbackMode=unknown). Hub/category/drawer/event detail + picks table; View provider when price unknown + URL. Removed pseudoRating export from explore-events.ts (Explore scope). Global /events unchanged. ExploreCardImage useEffect resets loadFailed on imageUrl/placeId/fallbackMode change; explore-card-image-lifecycle.test.tsx. Explore Vitest: 101 passed (16 files); tsc 0; no new API.</t>
        </is>
      </c>
      <c r="I16" s="13" t="inlineStr">
        <is>
          <t>G01</t>
        </is>
      </c>
    </row>
    <row r="17" ht="26" customHeight="1">
      <c r="A17" s="9" t="inlineStr">
        <is>
          <t>G09</t>
        </is>
      </c>
      <c r="B17" s="9" t="inlineStr">
        <is>
          <t>Design truth</t>
        </is>
      </c>
      <c r="C17" s="9" t="inlineStr">
        <is>
          <t>Design zero-match, partial failure, retry and pending states</t>
        </is>
      </c>
      <c r="D17" s="9" t="inlineStr">
        <is>
          <t>Complete in code</t>
        </is>
      </c>
      <c r="E17" s="9" t="inlineStr">
        <is>
          <t>Critical</t>
        </is>
      </c>
      <c r="F17" s="9" t="inlineStr">
        <is>
          <t>Hard</t>
        </is>
      </c>
      <c r="G17" s="9" t="inlineStr">
        <is>
          <t>Distinguish valid zero results from provider outage; show retry and pending/failure for real actions.</t>
        </is>
      </c>
      <c r="H17" s="9" t="inlineStr">
        <is>
          <t>2026-09-23: Main Explore hub now distinguishes per-source ready, empty, and failed states and overall ready, partial, empty, and failed states. Source requests run concurrently. Partial failures preserve successful rows; partial-with-zero shows honest copy and hides inventory sections. Retry preserves location scope, coordinates, and date range. Explore Vitest: 61 passed across 12 files; tsc --noEmit: 0 errors.</t>
        </is>
      </c>
      <c r="I17" s="9" t="inlineStr">
        <is>
          <t>2026-09-23 edge: Promise.all 3 sources; partial UI vs slots.length; partial zero copy. vitest explore 61; tsc 0.</t>
        </is>
      </c>
    </row>
    <row r="18" ht="26" customHeight="1">
      <c r="A18" s="13" t="inlineStr">
        <is>
          <t>G10</t>
        </is>
      </c>
      <c r="B18" s="13" t="inlineStr">
        <is>
          <t>Trust</t>
        </is>
      </c>
      <c r="C18" s="13" t="inlineStr">
        <is>
          <t>Remove synthetic stars and review counts across Explore pages</t>
        </is>
      </c>
      <c r="D18" s="13" t="inlineStr">
        <is>
          <t>Complete in code</t>
        </is>
      </c>
      <c r="E18" s="13" t="inlineStr">
        <is>
          <t>Critical</t>
        </is>
      </c>
      <c r="F18" s="13" t="inlineStr">
        <is>
          <t>Hard</t>
        </is>
      </c>
      <c r="G18" s="13" t="inlineStr">
        <is>
          <t>No pseudoRating on Explore routes; category cards and event detail omit synthetic stars.</t>
        </is>
      </c>
      <c r="H18" s="13" t="inlineStr">
        <is>
          <t>2026-09-22: ExploreCategoryEventCard shared; stableEventFeed; event/[id] copy fix. Follow-up: frontend/app/(dashboard)/events still uses pseudoRating.</t>
        </is>
      </c>
      <c r="I18" s="13" t="inlineStr">
        <is>
          <t>G08</t>
        </is>
      </c>
    </row>
    <row r="19" ht="26" customHeight="1">
      <c r="A19" s="9" t="inlineStr">
        <is>
          <t>G11</t>
        </is>
      </c>
      <c r="B19" s="9" t="inlineStr">
        <is>
          <t>Trust</t>
        </is>
      </c>
      <c r="C19" s="9" t="inlineStr">
        <is>
          <t>Replace Highest rated table basis and heading</t>
        </is>
      </c>
      <c r="D19" s="9" t="inlineStr">
        <is>
          <t>Complete in code</t>
        </is>
      </c>
      <c r="E19" s="9" t="inlineStr">
        <is>
          <t>Critical</t>
        </is>
      </c>
      <c r="F19" s="9" t="inlineStr">
        <is>
          <t>Moderate</t>
        </is>
      </c>
      <c r="G19" s="9" t="inlineStr">
        <is>
          <t>Main table title is Explore picks; no highest-rated or review claims.</t>
        </is>
      </c>
      <c r="H19" s="9" t="inlineStr">
        <is>
          <t>2026-09-22: Heading/copy fixed on /explore ranking section (audit ID 32 heading). Broader ratings spine still open (G10).</t>
        </is>
      </c>
      <c r="I19" s="9" t="inlineStr">
        <is>
          <t>G10</t>
        </is>
      </c>
    </row>
    <row r="20" ht="26" customHeight="1">
      <c r="A20" s="13" t="inlineStr">
        <is>
          <t>G12</t>
        </is>
      </c>
      <c r="B20" s="13" t="inlineStr">
        <is>
          <t>Visual</t>
        </is>
      </c>
      <c r="C20" s="13" t="inlineStr">
        <is>
          <t>Specify no-photo fallback as a real map crop at zoom 17</t>
        </is>
      </c>
      <c r="D20" s="13" t="inlineStr">
        <is>
          <t>Not started</t>
        </is>
      </c>
      <c r="E20" s="13" t="inlineStr">
        <is>
          <t>High</t>
        </is>
      </c>
      <c r="F20" s="13" t="inlineStr">
        <is>
          <t>Hard</t>
        </is>
      </c>
      <c r="G20" s="13" t="inlineStr">
        <is>
          <t>Use coordinate-based z17 crop where licensed/available; otherwise explicit neutral no-photo state.</t>
        </is>
      </c>
      <c r="H20" s="13" t="inlineStr">
        <is>
          <t>User review 2026-09-22; Audit IDs 31,47</t>
        </is>
      </c>
      <c r="I20" s="13" t="inlineStr">
        <is>
          <t>G08</t>
        </is>
      </c>
    </row>
    <row r="21" ht="26" customHeight="1">
      <c r="A21" s="9" t="inlineStr">
        <is>
          <t>G13</t>
        </is>
      </c>
      <c r="B21" s="9" t="inlineStr">
        <is>
          <t>Visual</t>
        </is>
      </c>
      <c r="C21" s="9" t="inlineStr">
        <is>
          <t>Remove repeated listing name within cards</t>
        </is>
      </c>
      <c r="D21" s="9" t="inlineStr">
        <is>
          <t>Complete in code</t>
        </is>
      </c>
      <c r="E21" s="9" t="inlineStr">
        <is>
          <t>High</t>
        </is>
      </c>
      <c r="F21" s="9" t="inlineStr">
        <is>
          <t>Easy</t>
        </is>
      </c>
      <c r="G21" s="9" t="inlineStr">
        <is>
          <t>One title per card; summary no longer repeats listing name when venue equals title.</t>
        </is>
      </c>
      <c r="H21" s="9" t="inlineStr">
        <is>
          <t>2026-09-22: ExploreSlotCard overlay/body title branches are mutually exclusive (code review). Fixed data-layer dup (event venue=name in meta+summary). normalizeCardSummary in hubSlotToCard. Browser spot-check: /explore?city=Chicago stayed on loading inventory locally; vitest explore-card-copy + hub map passed.</t>
        </is>
      </c>
      <c r="I21" s="9" t="inlineStr">
        <is>
          <t>G08</t>
        </is>
      </c>
    </row>
    <row r="22" ht="26" customHeight="1">
      <c r="A22" s="13" t="inlineStr">
        <is>
          <t>G14</t>
        </is>
      </c>
      <c r="B22" s="13" t="inlineStr">
        <is>
          <t>Location</t>
        </is>
      </c>
      <c r="C22" s="13" t="inlineStr">
        <is>
          <t>Suppress null location slug and stray · US rows</t>
        </is>
      </c>
      <c r="D22" s="13" t="inlineStr">
        <is>
          <t>Complete in code</t>
        </is>
      </c>
      <c r="E22" s="13" t="inlineStr">
        <is>
          <t>High</t>
        </is>
      </c>
      <c r="F22" s="13" t="inlineStr">
        <is>
          <t>Moderate</t>
        </is>
      </c>
      <c r="G22" s="13" t="inlineStr">
        <is>
          <t>Show city/state/country only when valid; no dangling separator or country-only location.</t>
        </is>
      </c>
      <c r="H22" s="13" t="inlineStr">
        <is>
          <t>User review 2026-09-22; Audit IDs 1,2</t>
        </is>
      </c>
      <c r="I22" s="13" t="inlineStr">
        <is>
          <t>2026-09-23: explore-listing-location.ts; hub/category/drawer/event detail; no dangling · US. vitest explore 40; tsc 0.</t>
        </is>
      </c>
    </row>
    <row r="23" ht="26" customHeight="1">
      <c r="A23" s="9" t="inlineStr">
        <is>
          <t>G15</t>
        </is>
      </c>
      <c r="B23" s="9" t="inlineStr">
        <is>
          <t>Feed</t>
        </is>
      </c>
      <c r="C23" s="9" t="inlineStr">
        <is>
          <t>Make displayed counts share one scope and pagination contract</t>
        </is>
      </c>
      <c r="D23" s="9" t="inlineStr">
        <is>
          <t>Complete in code</t>
        </is>
      </c>
      <c r="E23" s="9" t="inlineStr">
        <is>
          <t>Critical</t>
        </is>
      </c>
      <c r="F23" s="9" t="inlineStr">
        <is>
          <t>Hard</t>
        </is>
      </c>
      <c r="G23" s="9" t="inlineStr">
        <is>
          <t>Count matches visible feed scope and selected date/category; show load-more or honest cap.</t>
        </is>
      </c>
      <c r="H23" s="9" t="inlineStr">
        <is>
          <t>2026-09-23: Count contract: loaded/matching/visible/hasMore; Free+Free tonight use dated free-event predicate for filter and stats; category stat counts use active chips plus chip (AND); hero distinguishes loading, 0 loaded, n loaded, and unavailable (failed/partial-zero). Explore Vitest: 78 passed / 13 files; tsc 0. Bounded client pool only.</t>
        </is>
      </c>
      <c r="I23" s="9" t="inlineStr">
        <is>
          <t>F08,F27</t>
        </is>
      </c>
    </row>
    <row r="24" ht="26" customHeight="1">
      <c r="A24" s="13" t="inlineStr">
        <is>
          <t>G16</t>
        </is>
      </c>
      <c r="B24" s="13" t="inlineStr">
        <is>
          <t>Group</t>
        </is>
      </c>
      <c r="C24" s="13" t="inlineStr">
        <is>
          <t>Hide unsupported group fixtures until real operations exist</t>
        </is>
      </c>
      <c r="D24" s="13" t="inlineStr">
        <is>
          <t>Complete in code</t>
        </is>
      </c>
      <c r="E24" s="13" t="inlineStr">
        <is>
          <t>Critical</t>
        </is>
      </c>
      <c r="F24" s="13" t="inlineStr">
        <is>
          <t>Moderate</t>
        </is>
      </c>
      <c r="G24" s="13" t="inlineStr">
        <is>
          <t>No fake who-is-going, send/share/split success, vote or RSVP deadline in production Explore.</t>
        </is>
      </c>
      <c r="H24" s="13" t="inlineStr">
        <is>
          <t>2026-09-23: Removed unsupported Explore hub invite sheet/buttons, split placeholder, friend-attendance pills/copy, and invitation feed card. Preserved real local Save/provider handoff and the event-detail poll/share operations. Explore Vitest 44 passed (11 files); tsc --noEmit 0 errors.</t>
        </is>
      </c>
      <c r="I24" s="13" t="inlineStr">
        <is>
          <t>G09</t>
        </is>
      </c>
    </row>
    <row r="25" ht="26" customHeight="1">
      <c r="A25" s="9" t="inlineStr">
        <is>
          <t>G17</t>
        </is>
      </c>
      <c r="B25" s="9" t="inlineStr">
        <is>
          <t>Data truth</t>
        </is>
      </c>
      <c r="C25" s="9" t="inlineStr">
        <is>
          <t>Show cache/provider age rather than browser fetch time</t>
        </is>
      </c>
      <c r="D25" s="9" t="inlineStr">
        <is>
          <t>Complete in code</t>
        </is>
      </c>
      <c r="E25" s="9" t="inlineStr">
        <is>
          <t>Critical</t>
        </is>
      </c>
      <c r="F25" s="9" t="inlineStr">
        <is>
          <t>Moderate</t>
        </is>
      </c>
      <c r="G25" s="9" t="inlineStr">
        <is>
          <t>Display last provider refresh and distinguish cached, stale and current.</t>
        </is>
      </c>
      <c r="H25" s="9" t="inlineStr">
        <is>
          <t>Cache write age on hub; not live inventory. Separate ages for events, attractions, restaurants.</t>
        </is>
      </c>
      <c r="I25" s="9" t="inlineStr">
        <is>
          <t>2026-09-23: explore_cache_freshness + _get_cached_list_with_meta; /explore/events|places freshness; hub sourceFreshness; Explore listings UI. pytest cache 4; vitest 32; tsc 0.</t>
        </is>
      </c>
    </row>
    <row r="26" ht="26" customHeight="1">
      <c r="A26" s="13" t="inlineStr">
        <is>
          <t>G18</t>
        </is>
      </c>
      <c r="B26" s="13" t="inlineStr">
        <is>
          <t>Location</t>
        </is>
      </c>
      <c r="C26" s="13" t="inlineStr">
        <is>
          <t>Use selected coordinate as distance origin and local units</t>
        </is>
      </c>
      <c r="D26" s="13" t="inlineStr">
        <is>
          <t>Partial</t>
        </is>
      </c>
      <c r="E26" s="13" t="inlineStr">
        <is>
          <t>Critical</t>
        </is>
      </c>
      <c r="F26" s="13" t="inlineStr">
        <is>
          <t>Hard</t>
        </is>
      </c>
      <c r="G26" s="13" t="inlineStr">
        <is>
          <t>Use selected GPS/city point and honest radius; show miles in Chicago.</t>
        </is>
      </c>
      <c r="H26" s="13" t="inlineStr">
        <is>
          <t>Audit ID 2; user review 2026-09-22</t>
        </is>
      </c>
      <c r="I26" s="13" t="inlineStr">
        <is>
          <t>F01,F02</t>
        </is>
      </c>
    </row>
    <row r="27" ht="26" customHeight="1">
      <c r="A27" s="9" t="inlineStr">
        <is>
          <t>F01</t>
        </is>
      </c>
      <c r="B27" s="9" t="inlineStr">
        <is>
          <t>Capability</t>
        </is>
      </c>
      <c r="C27" s="9" t="inlineStr">
        <is>
          <t>Selected city and remembered location</t>
        </is>
      </c>
      <c r="D27" s="9" t="inlineStr">
        <is>
          <t>Partial</t>
        </is>
      </c>
      <c r="E27" s="9" t="inlineStr">
        <is>
          <t>Critical</t>
        </is>
      </c>
      <c r="F27" s="9" t="inlineStr">
        <is>
          <t>Hard</t>
        </is>
      </c>
      <c r="G27" s="9" t="inlineStr">
        <is>
          <t>Use one authoritative selected scope for hero and feed; preserve explicit scope across reload/URL navigation, and ignore stale hero/geocode replies.</t>
        </is>
      </c>
      <c r="H27" s="9" t="inlineStr">
        <is>
          <t>Explore audit ID 1; The hub now has scoped selection and a request-sequence guard. Only the city name persists; state/country scope is lost on reload. The hero can still show its earlier GPS photo, weather, and place after the feed switches destination; hero/geocode replies are not guarded as the hub replies are.</t>
        </is>
      </c>
      <c r="I27" s="9" t="inlineStr">
        <is>
          <t>See related gates</t>
        </is>
      </c>
    </row>
    <row r="28" ht="26" customHeight="1">
      <c r="A28" s="13" t="inlineStr">
        <is>
          <t>F02</t>
        </is>
      </c>
      <c r="B28" s="13" t="inlineStr">
        <is>
          <t>Capability</t>
        </is>
      </c>
      <c r="C28" s="13" t="inlineStr">
        <is>
          <t>Nearby results and distance</t>
        </is>
      </c>
      <c r="D28" s="13" t="inlineStr">
        <is>
          <t>Partial</t>
        </is>
      </c>
      <c r="E28" s="13" t="inlineStr">
        <is>
          <t>Critical</t>
        </is>
      </c>
      <c r="F28" s="13" t="inlineStr">
        <is>
          <t>Hard</t>
        </is>
      </c>
      <c r="G28" s="13" t="inlineStr">
        <is>
          <t>Pass selected coordinates and visible radius; label distances from the actual origin.</t>
        </is>
      </c>
      <c r="H28" s="13" t="inlineStr">
        <is>
          <t>Explore audit ID 2; Feed uses a fixed city-coordinate map and 200-mile radius, not the actual selected GPS point; backend may expand to 500 miles.</t>
        </is>
      </c>
      <c r="I28" s="13" t="inlineStr">
        <is>
          <t>See related gates</t>
        </is>
      </c>
    </row>
    <row r="29" ht="26" customHeight="1">
      <c r="A29" s="9" t="inlineStr">
        <is>
          <t>F03</t>
        </is>
      </c>
      <c r="B29" s="9" t="inlineStr">
        <is>
          <t>Capability</t>
        </is>
      </c>
      <c r="C29" s="9" t="inlineStr">
        <is>
          <t>Venue discovery</t>
        </is>
      </c>
      <c r="D29" s="9" t="inlineStr">
        <is>
          <t>Partial</t>
        </is>
      </c>
      <c r="E29" s="9" t="inlineStr">
        <is>
          <t>Critical</t>
        </is>
      </c>
      <c r="F29" s="9" t="inlineStr">
        <is>
          <t>Hard</t>
        </is>
      </c>
      <c r="G29" s="9" t="inlineStr">
        <is>
          <t>Repair and test empty-provider fallback before relying on venues.</t>
        </is>
      </c>
      <c r="H29" s="9" t="inlineStr">
        <is>
          <t>Explore audit ID 3; Backend OSM fallback repaired locally; target Overture spine still absent.</t>
        </is>
      </c>
      <c r="I29" s="9" t="inlineStr">
        <is>
          <t>See related gates</t>
        </is>
      </c>
    </row>
    <row r="30" ht="26" customHeight="1">
      <c r="A30" s="13" t="inlineStr">
        <is>
          <t>F04</t>
        </is>
      </c>
      <c r="B30" s="13" t="inlineStr">
        <is>
          <t>Capability</t>
        </is>
      </c>
      <c r="C30" s="13" t="inlineStr">
        <is>
          <t>Verified event inventory</t>
        </is>
      </c>
      <c r="D30" s="13" t="inlineStr">
        <is>
          <t>Complete in code</t>
        </is>
      </c>
      <c r="E30" s="13" t="inlineStr">
        <is>
          <t>Critical</t>
        </is>
      </c>
      <c r="F30" s="13" t="inlineStr">
        <is>
          <t>Hard</t>
        </is>
      </c>
      <c r="G30" s="13" t="inlineStr">
        <is>
          <t>Separate editorial suggestions from verified events; never label generated rows as live/free inventory.</t>
        </is>
      </c>
      <c r="H30" s="13" t="inlineStr">
        <is>
          <t>2026-09-24: Verified inventory totals and pages exclude generated cache rows at service layer; hub fetch still filters before slot mapping. Date-dependent Explore tests (hub counts, v6 map, G07 fetch) derive event dates from dateRangeForWhen(when).dateFrom + offsets; no stale fixed clock. pytest test_explore_events_endpoint.py: 16 passed. Explore Vitest: 86 passed (14 files); tsc --noEmit: 0 errors.</t>
        </is>
      </c>
      <c r="I30" s="13" t="inlineStr">
        <is>
          <t>See related gates</t>
        </is>
      </c>
    </row>
    <row r="31" ht="26" customHeight="1">
      <c r="A31" s="9" t="inlineStr">
        <is>
          <t>F05</t>
        </is>
      </c>
      <c r="B31" s="9" t="inlineStr">
        <is>
          <t>Capability</t>
        </is>
      </c>
      <c r="C31" s="9" t="inlineStr">
        <is>
          <t>Provider/source labels</t>
        </is>
      </c>
      <c r="D31" s="9" t="inlineStr">
        <is>
          <t>Partial</t>
        </is>
      </c>
      <c r="E31" s="9" t="inlineStr">
        <is>
          <t>Critical</t>
        </is>
      </c>
      <c r="F31" s="9" t="inlineStr">
        <is>
          <t>Moderate</t>
        </is>
      </c>
      <c r="G31" s="9" t="inlineStr">
        <is>
          <t>Preserve per-record provider provenance through the API and mapper.</t>
        </is>
      </c>
      <c r="H31" s="9" t="inlineStr">
        <is>
          <t>Explore audit ID 5; Provider source fields now pass through; Foursquare-first remains.</t>
        </is>
      </c>
      <c r="I31" s="9" t="inlineStr">
        <is>
          <t>See related gates</t>
        </is>
      </c>
    </row>
    <row r="32" ht="26" customHeight="1">
      <c r="A32" s="13" t="inlineStr">
        <is>
          <t>F06</t>
        </is>
      </c>
      <c r="B32" s="13" t="inlineStr">
        <is>
          <t>Capability</t>
        </is>
      </c>
      <c r="C32" s="13" t="inlineStr">
        <is>
          <t>Freshness and live status</t>
        </is>
      </c>
      <c r="D32" s="13" t="inlineStr">
        <is>
          <t>Complete in code</t>
        </is>
      </c>
      <c r="E32" s="13" t="inlineStr">
        <is>
          <t>Critical</t>
        </is>
      </c>
      <c r="F32" s="13" t="inlineStr">
        <is>
          <t>Moderate</t>
        </is>
      </c>
      <c r="G32" s="13" t="inlineStr">
        <is>
          <t>Show provider/cache timestamp and distinguish cached from verified current data.</t>
        </is>
      </c>
      <c r="H32" s="13" t="inlineStr">
        <is>
          <t>Cache write age on hub; not live inventory. Separate ages for events, attractions, restaurants.</t>
        </is>
      </c>
      <c r="I32" s="13" t="inlineStr">
        <is>
          <t>2026-09-23: explore_cache_freshness + _get_cached_list_with_meta; /explore/events|places freshness; hub sourceFreshness; Explore listings UI. pytest cache 4; vitest 32; tsc 0.</t>
        </is>
      </c>
    </row>
    <row r="33" ht="26" customHeight="1">
      <c r="A33" s="9" t="inlineStr">
        <is>
          <t>F07</t>
        </is>
      </c>
      <c r="B33" s="9" t="inlineStr">
        <is>
          <t>Capability</t>
        </is>
      </c>
      <c r="C33" s="9" t="inlineStr">
        <is>
          <t>Loading, failures, retry, empty inventory</t>
        </is>
      </c>
      <c r="D33" s="9" t="inlineStr">
        <is>
          <t>Complete in code</t>
        </is>
      </c>
      <c r="E33" s="9" t="inlineStr">
        <is>
          <t>Critical</t>
        </is>
      </c>
      <c r="F33" s="9" t="inlineStr">
        <is>
          <t>Hard</t>
        </is>
      </c>
      <c r="G33" s="9" t="inlineStr">
        <is>
          <t>Differentiate empty results, partial failure, and total failure; prevent stale-city results.</t>
        </is>
      </c>
      <c r="H33" s="9" t="inlineStr">
        <is>
          <t>2026-09-23: Loading clears previous-location cards; true empty is separate from provider failure; partial and full failures provide Retry; zero filter and prompt matches do not restore unrelated inventory. Failed providers are no longer converted silently into successful empty results. Concurrent-fetch, partial-zero, retry-input, and late-response cases are covered. Explore Vitest: 61 passed across 12 files; tsc --noEmit: 0 errors.</t>
        </is>
      </c>
      <c r="I33" s="9" t="inlineStr">
        <is>
          <t>2026-09-23 edge: Promise.all 3 sources; partial UI vs slots.length; partial zero copy. vitest explore 61; tsc 0.</t>
        </is>
      </c>
    </row>
    <row r="34" ht="26" customHeight="1">
      <c r="A34" s="13" t="inlineStr">
        <is>
          <t>F08</t>
        </is>
      </c>
      <c r="B34" s="13" t="inlineStr">
        <is>
          <t>Capability</t>
        </is>
      </c>
      <c r="C34" s="13" t="inlineStr">
        <is>
          <t>Listing/category counts</t>
        </is>
      </c>
      <c r="D34" s="13" t="inlineStr">
        <is>
          <t>Complete in code</t>
        </is>
      </c>
      <c r="E34" s="13" t="inlineStr">
        <is>
          <t>Critical</t>
        </is>
      </c>
      <c r="F34" s="13" t="inlineStr">
        <is>
          <t>Hard</t>
        </is>
      </c>
      <c r="G34" s="13" t="inlineStr">
        <is>
          <t>Make counts match scope, selected dates, and actual category definitions.</t>
        </is>
      </c>
      <c r="H34" s="13" t="inlineStr">
        <is>
          <t>2026-09-23: Category stats share filterHubSlotsByChips with feed; inactive chip count equals add-chip result; active chip shows current match count; Landmarks never all-places fallback. Explore Vitest: 78 passed / 13 files; tsc 0.</t>
        </is>
      </c>
      <c r="I34" s="13" t="inlineStr">
        <is>
          <t>See related gates</t>
        </is>
      </c>
    </row>
    <row r="35" ht="26" customHeight="1">
      <c r="A35" s="9" t="inlineStr">
        <is>
          <t>F09</t>
        </is>
      </c>
      <c r="B35" s="9" t="inlineStr">
        <is>
          <t>Capability</t>
        </is>
      </c>
      <c r="C35" s="9" t="inlineStr">
        <is>
          <t>Tonight / Tomorrow / Weekend / Next week</t>
        </is>
      </c>
      <c r="D35" s="9" t="inlineStr">
        <is>
          <t>Partial</t>
        </is>
      </c>
      <c r="E35" s="9" t="inlineStr">
        <is>
          <t>Critical</t>
        </is>
      </c>
      <c r="F35" s="9" t="inlineStr">
        <is>
          <t>Moderate</t>
        </is>
      </c>
      <c r="G35" s="9" t="inlineStr">
        <is>
          <t>Connect date ranges to queries and use destination timezone.</t>
        </is>
      </c>
      <c r="H35" s="9" t="inlineStr">
        <is>
          <t>2026-09-25: Phase A calendar strip under When row on /explore; days with dated events only; day tap filters feed (events on day + places). Category chips hide at zero. 14-day client fetch widen; no new API. Vitest 107/18. Full month/provider calendar still open.</t>
        </is>
      </c>
      <c r="I35" s="9" t="inlineStr">
        <is>
          <t>See related gates</t>
        </is>
      </c>
    </row>
    <row r="36" ht="26" customHeight="1">
      <c r="A36" s="13" t="inlineStr">
        <is>
          <t>F10</t>
        </is>
      </c>
      <c r="B36" s="13" t="inlineStr">
        <is>
          <t>Capability</t>
        </is>
      </c>
      <c r="C36" s="13" t="inlineStr">
        <is>
          <t>Category filters</t>
        </is>
      </c>
      <c r="D36" s="13" t="inlineStr">
        <is>
          <t>Partial</t>
        </is>
      </c>
      <c r="E36" s="13" t="inlineStr">
        <is>
          <t>Critical</t>
        </is>
      </c>
      <c r="F36" s="13" t="inlineStr">
        <is>
          <t>Moderate</t>
        </is>
      </c>
      <c r="G36" s="13" t="inlineStr">
        <is>
          <t>Use normalized categories, explicit all-items behavior, and correct OR/AND grouping.</t>
        </is>
      </c>
      <c r="H36" s="13" t="inlineStr">
        <is>
          <t>Explore audit ID 10; Basic keyword filtering exists for Events, Food &amp; drink, Live music, Outdoors, Landmarks, Free tonight; In database has no dedicated behavior.</t>
        </is>
      </c>
      <c r="I36" s="13" t="inlineStr">
        <is>
          <t>See related gates</t>
        </is>
      </c>
    </row>
    <row r="37" ht="26" customHeight="1">
      <c r="A37" s="9" t="inlineStr">
        <is>
          <t>F11</t>
        </is>
      </c>
      <c r="B37" s="9" t="inlineStr">
        <is>
          <t>Capability</t>
        </is>
      </c>
      <c r="C37" s="9" t="inlineStr">
        <is>
          <t>Price filters</t>
        </is>
      </c>
      <c r="D37" s="9" t="inlineStr">
        <is>
          <t>Partial</t>
        </is>
      </c>
      <c r="E37" s="9" t="inlineStr">
        <is>
          <t>Critical</t>
        </is>
      </c>
      <c r="F37" s="9" t="inlineStr">
        <is>
          <t>Moderate</t>
        </is>
      </c>
      <c r="G37" s="9" t="inlineStr">
        <is>
          <t>Filter numeric price and currency; keep unknown prices distinct.</t>
        </is>
      </c>
      <c r="H37" s="9" t="inlineStr">
        <is>
          <t>Explore audit ID 11; Numeric price chips wired; unknown currency/fee states remain.</t>
        </is>
      </c>
      <c r="I37" s="9" t="inlineStr">
        <is>
          <t>See related gates</t>
        </is>
      </c>
    </row>
    <row r="38" ht="26" customHeight="1">
      <c r="A38" s="13" t="inlineStr">
        <is>
          <t>F12</t>
        </is>
      </c>
      <c r="B38" s="13" t="inlineStr">
        <is>
          <t>Capability</t>
        </is>
      </c>
      <c r="C38" s="13" t="inlineStr">
        <is>
          <t>Zero-match filter behavior</t>
        </is>
      </c>
      <c r="D38" s="13" t="inlineStr">
        <is>
          <t>Complete in code</t>
        </is>
      </c>
      <c r="E38" s="13" t="inlineStr">
        <is>
          <t>Critical</t>
        </is>
      </c>
      <c r="F38" s="13" t="inlineStr">
        <is>
          <t>Moderate</t>
        </is>
      </c>
      <c r="G38" s="13" t="inlineStr">
        <is>
          <t>Preserve zero matches and show a clear reset action.</t>
        </is>
      </c>
      <c r="H38" s="13" t="inlineStr">
        <is>
          <t>Explore audit ID 12; Zero-match now renders an empty state; keep regression coverage.</t>
        </is>
      </c>
      <c r="I38" s="13" t="inlineStr">
        <is>
          <t>See related gates</t>
        </is>
      </c>
    </row>
    <row r="39" ht="26" customHeight="1">
      <c r="A39" s="9" t="inlineStr">
        <is>
          <t>F13</t>
        </is>
      </c>
      <c r="B39" s="9" t="inlineStr">
        <is>
          <t>Capability</t>
        </is>
      </c>
      <c r="C39" s="9" t="inlineStr">
        <is>
          <t>Price, currency, and fee accuracy</t>
        </is>
      </c>
      <c r="D39" s="9" t="inlineStr">
        <is>
          <t>Partial</t>
        </is>
      </c>
      <c r="E39" s="9" t="inlineStr">
        <is>
          <t>Critical</t>
        </is>
      </c>
      <c r="F39" s="9" t="inlineStr">
        <is>
          <t>Hard</t>
        </is>
      </c>
      <c r="G39" s="9" t="inlineStr">
        <is>
          <t>Retain currency, minimum/range/unknown states and verified fee inclusion.</t>
        </is>
      </c>
      <c r="H39" s="9" t="inlineStr">
        <is>
          <t>Explore audit ID 13; Provider prices are displayed, rounded and dollar-prefixed; unknown values become zero for totals; all-in copy overpromises fees.</t>
        </is>
      </c>
      <c r="I39" s="9" t="inlineStr">
        <is>
          <t>See related gates</t>
        </is>
      </c>
    </row>
    <row r="40" ht="26" customHeight="1">
      <c r="A40" s="13" t="inlineStr">
        <is>
          <t>F14</t>
        </is>
      </c>
      <c r="B40" s="13" t="inlineStr">
        <is>
          <t>Capability</t>
        </is>
      </c>
      <c r="C40" s="13" t="inlineStr">
        <is>
          <t>Authentic ratings and review counts</t>
        </is>
      </c>
      <c r="D40" s="13" t="inlineStr">
        <is>
          <t>Complete in code</t>
        </is>
      </c>
      <c r="E40" s="13" t="inlineStr">
        <is>
          <t>Critical</t>
        </is>
      </c>
      <c r="F40" s="13" t="inlineStr">
        <is>
          <t>Moderate</t>
        </is>
      </c>
      <c r="G40" s="13" t="inlineStr">
        <is>
          <t>Remove synthetic ratings now; later accept verified provider ratings only.</t>
        </is>
      </c>
      <c r="H40" s="13" t="inlineStr">
        <is>
          <t>2026-09-24: Complete in code for app/(dashboard)/explore only: no stars, review counts, dash ratings, or pseudoRating on hub/category/drawer/event detail/picks. explore-unknown-field-states.test.ts + explore-no-synthetic-ratings.test.ts + explore-card-image-lifecycle.test.tsx (photo error recovery). frontend/app/(dashboard)/events still uses local pseudoRating (out of scope).</t>
        </is>
      </c>
      <c r="I40" s="13" t="inlineStr">
        <is>
          <t>See related gates</t>
        </is>
      </c>
    </row>
    <row r="41" ht="26" customHeight="1">
      <c r="A41" s="9" t="inlineStr">
        <is>
          <t>F15</t>
        </is>
      </c>
      <c r="B41" s="9" t="inlineStr">
        <is>
          <t>Capability</t>
        </is>
      </c>
      <c r="C41" s="9" t="inlineStr">
        <is>
          <t>Open-now / availability / capacity</t>
        </is>
      </c>
      <c r="D41" s="9" t="inlineStr">
        <is>
          <t>Partial</t>
        </is>
      </c>
      <c r="E41" s="9" t="inlineStr">
        <is>
          <t>Critical</t>
        </is>
      </c>
      <c r="F41" s="9" t="inlineStr">
        <is>
          <t>Moderate</t>
        </is>
      </c>
      <c r="G41" s="9" t="inlineStr">
        <is>
          <t>Hours unknown / Check provider on cards; provider status text kept; previews labeled. Integrate verified provider/OSM hours and capacity before completing F15.</t>
        </is>
      </c>
      <c r="H41" s="9" t="inlineStr">
        <is>
          <t>No invented open-now/walk-in/bookable/capacity. OSM weekly hours + TM sold_out verified on applicable rows. Foursquare-primary places: Hours unknown until data-spine.</t>
        </is>
      </c>
      <c r="I41" s="9" t="inlineStr">
        <is>
          <t>2026-09-23: opening_hours_from_osm_tags; /explore/places; drawer Hours·OpenStreetMap; Hours listed on cards; sold_out→Sold out. pytest 3; vitest 26; tsc 0.</t>
        </is>
      </c>
    </row>
    <row r="42" ht="26" customHeight="1">
      <c r="A42" s="13" t="inlineStr">
        <is>
          <t>F16</t>
        </is>
      </c>
      <c r="B42" s="13" t="inlineStr">
        <is>
          <t>Capability</t>
        </is>
      </c>
      <c r="C42" s="13" t="inlineStr">
        <is>
          <t>Booking / provider handoff</t>
        </is>
      </c>
      <c r="D42" s="13" t="inlineStr">
        <is>
          <t>Partial</t>
        </is>
      </c>
      <c r="E42" s="13" t="inlineStr">
        <is>
          <t>Critical</t>
        </is>
      </c>
      <c r="F42" s="13" t="inlineStr">
        <is>
          <t>Moderate</t>
        </is>
      </c>
      <c r="G42" s="13" t="inlineStr">
        <is>
          <t>Retain validated provider URL and complete external handoff or disable the action.</t>
        </is>
      </c>
      <c r="H42" s="13" t="inlineStr">
        <is>
          <t>Explore audit ID 16; Source URL handoff wired locally; live provider handoff not verified.</t>
        </is>
      </c>
      <c r="I42" s="13" t="inlineStr">
        <is>
          <t>See related gates</t>
        </is>
      </c>
    </row>
    <row r="43" ht="26" customHeight="1">
      <c r="A43" s="9" t="inlineStr">
        <is>
          <t>F17</t>
        </is>
      </c>
      <c r="B43" s="9" t="inlineStr">
        <is>
          <t>Capability</t>
        </is>
      </c>
      <c r="C43" s="9" t="inlineStr">
        <is>
          <t>Truthful success and product claims</t>
        </is>
      </c>
      <c r="D43" s="9" t="inlineStr">
        <is>
          <t>Partial</t>
        </is>
      </c>
      <c r="E43" s="9" t="inlineStr">
        <is>
          <t>Critical</t>
        </is>
      </c>
      <c r="F43" s="9" t="inlineStr">
        <is>
          <t>Hard</t>
        </is>
      </c>
      <c r="G43" s="9" t="inlineStr">
        <is>
          <t>Remove or label demos immediately; only show success after a real result.</t>
        </is>
      </c>
      <c r="H43" s="9" t="inlineStr">
        <is>
          <t>Explore audit ID 17; Some fake states hidden/softened locally; remaining fixtures need full review.</t>
        </is>
      </c>
      <c r="I43" s="9" t="inlineStr">
        <is>
          <t>See related gates</t>
        </is>
      </c>
    </row>
    <row r="44" ht="26" customHeight="1">
      <c r="A44" s="13" t="inlineStr">
        <is>
          <t>F18</t>
        </is>
      </c>
      <c r="B44" s="13" t="inlineStr">
        <is>
          <t>Capability</t>
        </is>
      </c>
      <c r="C44" s="13" t="inlineStr">
        <is>
          <t>Automatic GPS detection</t>
        </is>
      </c>
      <c r="D44" s="13" t="inlineStr">
        <is>
          <t>Complete in code</t>
        </is>
      </c>
      <c r="E44" s="13" t="inlineStr">
        <is>
          <t>High</t>
        </is>
      </c>
      <c r="F44" s="13" t="inlineStr">
        <is>
          <t>Easy</t>
        </is>
      </c>
      <c r="G44" s="13" t="inlineStr">
        <is>
          <t>Keep existing behavior; verify permission UX in release QA.</t>
        </is>
      </c>
      <c r="H44" s="13" t="inlineStr">
        <is>
          <t>Explore audit ID 18; Browser geolocation is requested and supplied to the hero API.</t>
        </is>
      </c>
      <c r="I44" s="13" t="inlineStr">
        <is>
          <t>See related gates</t>
        </is>
      </c>
    </row>
    <row r="45" ht="26" customHeight="1">
      <c r="A45" s="9" t="inlineStr">
        <is>
          <t>F19</t>
        </is>
      </c>
      <c r="B45" s="9" t="inlineStr">
        <is>
          <t>Capability</t>
        </is>
      </c>
      <c r="C45" s="9" t="inlineStr">
        <is>
          <t>Approximate IP fallback</t>
        </is>
      </c>
      <c r="D45" s="9" t="inlineStr">
        <is>
          <t>Complete in code</t>
        </is>
      </c>
      <c r="E45" s="9" t="inlineStr">
        <is>
          <t>High</t>
        </is>
      </c>
      <c r="F45" s="9" t="inlineStr">
        <is>
          <t>Easy</t>
        </is>
      </c>
      <c r="G45" s="9" t="inlineStr">
        <is>
          <t>Keep fallback and nullable state behavior.</t>
        </is>
      </c>
      <c r="H45" s="9" t="inlineStr">
        <is>
          <t>Explore audit ID 19; Denied/unavailable GPS falls back to hero IP resolution with approximate labeling.</t>
        </is>
      </c>
      <c r="I45" s="9" t="inlineStr">
        <is>
          <t>See related gates</t>
        </is>
      </c>
    </row>
    <row r="46" ht="26" customHeight="1">
      <c r="A46" s="13" t="inlineStr">
        <is>
          <t>F20</t>
        </is>
      </c>
      <c r="B46" s="13" t="inlineStr">
        <is>
          <t>Capability</t>
        </is>
      </c>
      <c r="C46" s="13" t="inlineStr">
        <is>
          <t>City / postcode / neighbourhood search</t>
        </is>
      </c>
      <c r="D46" s="13" t="inlineStr">
        <is>
          <t>Complete in code</t>
        </is>
      </c>
      <c r="E46" s="13" t="inlineStr">
        <is>
          <t>High</t>
        </is>
      </c>
      <c r="F46" s="13" t="inlineStr">
        <is>
          <t>Easy</t>
        </is>
      </c>
      <c r="G46" s="13" t="inlineStr">
        <is>
          <t>Keep search; selected-city synchronization is tracked separately.</t>
        </is>
      </c>
      <c r="H46" s="13" t="inlineStr">
        <is>
          <t>Explore audit ID 20; Location sheet calls shared geocoding and applies the selected result.</t>
        </is>
      </c>
      <c r="I46" s="13" t="inlineStr">
        <is>
          <t>See related gates</t>
        </is>
      </c>
    </row>
    <row r="47" ht="26" customHeight="1">
      <c r="A47" s="9" t="inlineStr">
        <is>
          <t>F21</t>
        </is>
      </c>
      <c r="B47" s="9" t="inlineStr">
        <is>
          <t>Capability</t>
        </is>
      </c>
      <c r="C47" s="9" t="inlineStr">
        <is>
          <t>Use my exact location action</t>
        </is>
      </c>
      <c r="D47" s="9" t="inlineStr">
        <is>
          <t>Complete in code</t>
        </is>
      </c>
      <c r="E47" s="9" t="inlineStr">
        <is>
          <t>High</t>
        </is>
      </c>
      <c r="F47" s="9" t="inlineStr">
        <is>
          <t>Easy</t>
        </is>
      </c>
      <c r="G47" s="9" t="inlineStr">
        <is>
          <t>Keep no-login location correction.</t>
        </is>
      </c>
      <c r="H47" s="9" t="inlineStr">
        <is>
          <t>Explore audit ID 21; Manual retry requests high-accuracy coordinates and refreshes the hero.</t>
        </is>
      </c>
      <c r="I47" s="9" t="inlineStr">
        <is>
          <t>See related gates</t>
        </is>
      </c>
    </row>
    <row r="48" ht="26" customHeight="1">
      <c r="A48" s="13" t="inlineStr">
        <is>
          <t>F22</t>
        </is>
      </c>
      <c r="B48" s="13" t="inlineStr">
        <is>
          <t>Capability</t>
        </is>
      </c>
      <c r="C48" s="13" t="inlineStr">
        <is>
          <t>Prompt composer and preset prompts</t>
        </is>
      </c>
      <c r="D48" s="13" t="inlineStr">
        <is>
          <t>Complete in code</t>
        </is>
      </c>
      <c r="E48" s="13" t="inlineStr">
        <is>
          <t>High</t>
        </is>
      </c>
      <c r="F48" s="13" t="inlineStr">
        <is>
          <t>Easy</t>
        </is>
      </c>
      <c r="G48" s="13" t="inlineStr">
        <is>
          <t>Keep the UI; planning intelligence is tracked separately.</t>
        </is>
      </c>
      <c r="H48" s="13" t="inlineStr">
        <is>
          <t>Explore audit ID 22; Text input, auto-height, three presets, and submit interaction are implemented.</t>
        </is>
      </c>
      <c r="I48" s="13" t="inlineStr">
        <is>
          <t>See related gates</t>
        </is>
      </c>
    </row>
    <row r="49" ht="26" customHeight="1">
      <c r="A49" s="9" t="inlineStr">
        <is>
          <t>F23</t>
        </is>
      </c>
      <c r="B49" s="9" t="inlineStr">
        <is>
          <t>Capability</t>
        </is>
      </c>
      <c r="C49" s="9" t="inlineStr">
        <is>
          <t>Understand budget, party size, timing, walkability</t>
        </is>
      </c>
      <c r="D49" s="9" t="inlineStr">
        <is>
          <t>Partial</t>
        </is>
      </c>
      <c r="E49" s="9" t="inlineStr">
        <is>
          <t>High</t>
        </is>
      </c>
      <c r="F49" s="9" t="inlineStr">
        <is>
          <t>Very hard</t>
        </is>
      </c>
      <c r="G49" s="9" t="inlineStr">
        <is>
          <t>Parse supported constraints and use verified inventory; connect Wayra only where needed.</t>
        </is>
      </c>
      <c r="H49" s="9" t="inlineStr">
        <is>
          <t>Explore audit ID 23; Plan it performs any-word substring matching on local listings; no structured constraints or AI call.</t>
        </is>
      </c>
      <c r="I49" s="9" t="inlineStr">
        <is>
          <t>See related gates</t>
        </is>
      </c>
    </row>
    <row r="50" ht="26" customHeight="1">
      <c r="A50" s="13" t="inlineStr">
        <is>
          <t>F24</t>
        </is>
      </c>
      <c r="B50" s="13" t="inlineStr">
        <is>
          <t>Capability</t>
        </is>
      </c>
      <c r="C50" s="13" t="inlineStr">
        <is>
          <t>Low-key / Best fit / Big night options</t>
        </is>
      </c>
      <c r="D50" s="13" t="inlineStr">
        <is>
          <t>Partial</t>
        </is>
      </c>
      <c r="E50" s="13" t="inlineStr">
        <is>
          <t>High</t>
        </is>
      </c>
      <c r="F50" s="13" t="inlineStr">
        <is>
          <t>Hard</t>
        </is>
      </c>
      <c r="G50" s="13" t="inlineStr">
        <is>
          <t>Generate genuinely different, constraint-valid options; avoid claiming three when fewer exist.</t>
        </is>
      </c>
      <c r="H50" s="13" t="inlineStr">
        <is>
          <t>Explore audit ID 24; Up to three matching single listings receive static tier names; they are not composed itineraries.</t>
        </is>
      </c>
      <c r="I50" s="13" t="inlineStr">
        <is>
          <t>See related gates</t>
        </is>
      </c>
    </row>
    <row r="51" ht="26" customHeight="1">
      <c r="A51" s="9" t="inlineStr">
        <is>
          <t>F25</t>
        </is>
      </c>
      <c r="B51" s="9" t="inlineStr">
        <is>
          <t>Capability</t>
        </is>
      </c>
      <c r="C51" s="9" t="inlineStr">
        <is>
          <t>Take this night / save plan to day</t>
        </is>
      </c>
      <c r="D51" s="9" t="inlineStr">
        <is>
          <t>Pending</t>
        </is>
      </c>
      <c r="E51" s="9" t="inlineStr">
        <is>
          <t>High</t>
        </is>
      </c>
      <c r="F51" s="9" t="inlineStr">
        <is>
          <t>Hard</t>
        </is>
      </c>
      <c r="G51" s="9" t="inlineStr">
        <is>
          <t>Persist plan/day or create a real cart/trip handoff.</t>
        </is>
      </c>
      <c r="H51" s="9" t="inlineStr">
        <is>
          <t>Explore audit ID 25; Button only changes its label.</t>
        </is>
      </c>
      <c r="I51" s="9" t="inlineStr">
        <is>
          <t>See related gates</t>
        </is>
      </c>
    </row>
    <row r="52" ht="26" customHeight="1">
      <c r="A52" s="13" t="inlineStr">
        <is>
          <t>F26</t>
        </is>
      </c>
      <c r="B52" s="13" t="inlineStr">
        <is>
          <t>Capability</t>
        </is>
      </c>
      <c r="C52" s="13" t="inlineStr">
        <is>
          <t>Fetch and render event cards</t>
        </is>
      </c>
      <c r="D52" s="13" t="inlineStr">
        <is>
          <t>Complete in code</t>
        </is>
      </c>
      <c r="E52" s="13" t="inlineStr">
        <is>
          <t>High</t>
        </is>
      </c>
      <c r="F52" s="13" t="inlineStr">
        <is>
          <t>Easy</t>
        </is>
      </c>
      <c r="G52" s="13" t="inlineStr">
        <is>
          <t>Keep integration; provenance and correctness gaps are tracked separately.</t>
        </is>
      </c>
      <c r="H52" s="13" t="inlineStr">
        <is>
          <t>Explore audit ID 26; Hub calls the events API, deduplicates IDs, maps event cards, and opens details.</t>
        </is>
      </c>
      <c r="I52" s="13" t="inlineStr">
        <is>
          <t>G05–G06</t>
        </is>
      </c>
    </row>
    <row r="53" ht="26" customHeight="1">
      <c r="A53" s="9" t="inlineStr">
        <is>
          <t>F27</t>
        </is>
      </c>
      <c r="B53" s="9" t="inlineStr">
        <is>
          <t>Capability</t>
        </is>
      </c>
      <c r="C53" s="9" t="inlineStr">
        <is>
          <t>Balanced feed and browsing beyond 24</t>
        </is>
      </c>
      <c r="D53" s="9" t="inlineStr">
        <is>
          <t>Partial</t>
        </is>
      </c>
      <c r="E53" s="9" t="inlineStr">
        <is>
          <t>High</t>
        </is>
      </c>
      <c r="F53" s="9" t="inlineStr">
        <is>
          <t>Easy</t>
        </is>
      </c>
      <c r="G53" s="9" t="inlineStr">
        <is>
          <t>Mix categories intentionally and connect pagination.</t>
        </is>
      </c>
      <c r="H53" s="9" t="inlineStr">
        <is>
          <t>2026-09-23: Client Load more (+24 over bounded fetched pool) ships on main Explore hub (G15). F27 stays Partial: no provider/backend pagination or additional API pages; only in-memory reveal of rows already returned.</t>
        </is>
      </c>
      <c r="I53" s="9" t="inlineStr">
        <is>
          <t>See related gates</t>
        </is>
      </c>
    </row>
    <row r="54" ht="26" customHeight="1">
      <c r="A54" s="13" t="inlineStr">
        <is>
          <t>F28</t>
        </is>
      </c>
      <c r="B54" s="13" t="inlineStr">
        <is>
          <t>Capability</t>
        </is>
      </c>
      <c r="C54" s="13" t="inlineStr">
        <is>
          <t>Vibe matching</t>
        </is>
      </c>
      <c r="D54" s="13" t="inlineStr">
        <is>
          <t>Partial</t>
        </is>
      </c>
      <c r="E54" s="13" t="inlineStr">
        <is>
          <t>High</t>
        </is>
      </c>
      <c r="F54" s="13" t="inlineStr">
        <is>
          <t>Easy</t>
        </is>
      </c>
      <c r="G54" s="13" t="inlineStr">
        <is>
          <t>Keep as approximate discovery tags or define verifiable matching rules.</t>
        </is>
      </c>
      <c r="H54" s="13" t="inlineStr">
        <is>
          <t>Explore audit ID 28; Seven vibes map to keywords; no preference model, novelty history, or validated cost/availability semantics.</t>
        </is>
      </c>
      <c r="I54" s="13" t="inlineStr">
        <is>
          <t>See related gates</t>
        </is>
      </c>
    </row>
    <row r="55" ht="26" customHeight="1">
      <c r="A55" s="9" t="inlineStr">
        <is>
          <t>F29</t>
        </is>
      </c>
      <c r="B55" s="9" t="inlineStr">
        <is>
          <t>Capability</t>
        </is>
      </c>
      <c r="C55" s="9" t="inlineStr">
        <is>
          <t>Practical filters</t>
        </is>
      </c>
      <c r="D55" s="9" t="inlineStr">
        <is>
          <t>Pending</t>
        </is>
      </c>
      <c r="E55" s="9" t="inlineStr">
        <is>
          <t>High</t>
        </is>
      </c>
      <c r="F55" s="9" t="inlineStr">
        <is>
          <t>Easy</t>
        </is>
      </c>
      <c r="G55" s="9" t="inlineStr">
        <is>
          <t>Add factual fields and filter only when known.</t>
        </is>
      </c>
      <c r="H55" s="9" t="inlineStr">
        <is>
          <t>Explore audit ID 29; Bookable now / Walk-in OK / Indoor use text matching rather than structured availability/venue facts.</t>
        </is>
      </c>
      <c r="I55" s="9" t="inlineStr">
        <is>
          <t>See related gates</t>
        </is>
      </c>
    </row>
    <row r="56" ht="26" customHeight="1">
      <c r="A56" s="13" t="inlineStr">
        <is>
          <t>F30</t>
        </is>
      </c>
      <c r="B56" s="13" t="inlineStr">
        <is>
          <t>Capability</t>
        </is>
      </c>
      <c r="C56" s="13" t="inlineStr">
        <is>
          <t>Refine panel / chip state / clear / apply</t>
        </is>
      </c>
      <c r="D56" s="13" t="inlineStr">
        <is>
          <t>Complete in code</t>
        </is>
      </c>
      <c r="E56" s="13" t="inlineStr">
        <is>
          <t>High</t>
        </is>
      </c>
      <c r="F56" s="13" t="inlineStr">
        <is>
          <t>Easy</t>
        </is>
      </c>
      <c r="G56" s="13" t="inlineStr">
        <is>
          <t>Keep controls; filtering correctness is tracked separately.</t>
        </is>
      </c>
      <c r="H56" s="13" t="inlineStr">
        <is>
          <t>Explore audit ID 30; Panel opens/closes, chips toggle, Clear all resets selection.</t>
        </is>
      </c>
      <c r="I56" s="13" t="inlineStr">
        <is>
          <t>See related gates</t>
        </is>
      </c>
    </row>
    <row r="57" ht="26" customHeight="1">
      <c r="A57" s="9" t="inlineStr">
        <is>
          <t>F31</t>
        </is>
      </c>
      <c r="B57" s="9" t="inlineStr">
        <is>
          <t>Capability</t>
        </is>
      </c>
      <c r="C57" s="9" t="inlineStr">
        <is>
          <t>Listing photos and card presentation</t>
        </is>
      </c>
      <c r="D57" s="9" t="inlineStr">
        <is>
          <t>Complete in code</t>
        </is>
      </c>
      <c r="E57" s="9" t="inlineStr">
        <is>
          <t>High</t>
        </is>
      </c>
      <c r="F57" s="9" t="inlineStr">
        <is>
          <t>Easy</t>
        </is>
      </c>
      <c r="G57" s="9" t="inlineStr">
        <is>
          <t>Keep rendering; add broken-image QA and avoid implying generic photos depict the venue.</t>
        </is>
      </c>
      <c r="H57" s="9" t="inlineStr">
        <is>
          <t>Explore audit ID 31; Provider image URLs render with lazy loading; missing images show a placeholder.</t>
        </is>
      </c>
      <c r="I57" s="9" t="inlineStr">
        <is>
          <t>See related gates</t>
        </is>
      </c>
    </row>
    <row r="58" ht="26" customHeight="1">
      <c r="A58" s="13" t="inlineStr">
        <is>
          <t>F32</t>
        </is>
      </c>
      <c r="B58" s="13" t="inlineStr">
        <is>
          <t>Capability</t>
        </is>
      </c>
      <c r="C58" s="13" t="inlineStr">
        <is>
          <t>Ranked listing table</t>
        </is>
      </c>
      <c r="D58" s="13" t="inlineStr">
        <is>
          <t>Partial</t>
        </is>
      </c>
      <c r="E58" s="13" t="inlineStr">
        <is>
          <t>High</t>
        </is>
      </c>
      <c r="F58" s="13" t="inlineStr">
        <is>
          <t>Easy</t>
        </is>
      </c>
      <c r="G58" s="13" t="inlineStr">
        <is>
          <t>Six feed-order rows: place, price, neutral availability; Check provider when unknown.</t>
        </is>
      </c>
      <c r="H58" s="13" t="inlineStr">
        <is>
          <t>2026-09-22: hubSlotsToRanking feed order; removed #/rating/distance/all-in/updated UI. Verified relevance ranking not done; pseudoRating elsewhere unchanged.</t>
        </is>
      </c>
      <c r="I58" s="13" t="inlineStr">
        <is>
          <t>See related gates</t>
        </is>
      </c>
    </row>
    <row r="59" ht="26" customHeight="1">
      <c r="A59" s="9" t="inlineStr">
        <is>
          <t>F33</t>
        </is>
      </c>
      <c r="B59" s="9" t="inlineStr">
        <is>
          <t>Capability</t>
        </is>
      </c>
      <c r="C59" s="9" t="inlineStr">
        <is>
          <t>Open/close listing detail and basic metadata</t>
        </is>
      </c>
      <c r="D59" s="9" t="inlineStr">
        <is>
          <t>Complete in code</t>
        </is>
      </c>
      <c r="E59" s="9" t="inlineStr">
        <is>
          <t>High</t>
        </is>
      </c>
      <c r="F59" s="9" t="inlineStr">
        <is>
          <t>Easy</t>
        </is>
      </c>
      <c r="G59" s="9" t="inlineStr">
        <is>
          <t>Keep the interaction; data truth and other drawer features are tracked separately.</t>
        </is>
      </c>
      <c r="H59" s="9" t="inlineStr">
        <is>
          <t>Explore audit ID 33; Drawer receives listing title, description, tags, source, and price labels.</t>
        </is>
      </c>
      <c r="I59" s="9" t="inlineStr">
        <is>
          <t>See related gates</t>
        </is>
      </c>
    </row>
    <row r="60" ht="26" customHeight="1">
      <c r="A60" s="13" t="inlineStr">
        <is>
          <t>F34</t>
        </is>
      </c>
      <c r="B60" s="13" t="inlineStr">
        <is>
          <t>Capability</t>
        </is>
      </c>
      <c r="C60" s="13" t="inlineStr">
        <is>
          <t>Save listings persistently</t>
        </is>
      </c>
      <c r="D60" s="13" t="inlineStr">
        <is>
          <t>Partial in product</t>
        </is>
      </c>
      <c r="E60" s="13" t="inlineStr">
        <is>
          <t>High</t>
        </is>
      </c>
      <c r="F60" s="13" t="inlineStr">
        <is>
          <t>Hard</t>
        </is>
      </c>
      <c r="G60" s="13" t="inlineStr">
        <is>
          <t>Choose Collection for bookmarks and Cart for actionable selections; persist snapshots and deduplicate.</t>
        </is>
      </c>
      <c r="H60" s="13" t="inlineStr">
        <is>
          <t>2026-09-25 F34 (Partial in product): POST/GET /collection/items; saved_from explore:listing:place:{gers_id}|event:{id}; auth-gated reload; idempotent create_item; drawer save states + reload failure banner with Retry on /explore; signed-out → login. Vitest Explore 113/20; pytest collection 6; tsc 0. Manual QA still required: save→hard refresh→card+drawer Saved; account switch isolation; reload Retry when GET fails. No Explore unsave; coords often omitted on save body.</t>
        </is>
      </c>
      <c r="I60" s="13" t="inlineStr">
        <is>
          <t>See related gates</t>
        </is>
      </c>
    </row>
    <row r="61" ht="26" customHeight="1">
      <c r="A61" s="9" t="inlineStr">
        <is>
          <t>F35</t>
        </is>
      </c>
      <c r="B61" s="9" t="inlineStr">
        <is>
          <t>Capability</t>
        </is>
      </c>
      <c r="C61" s="9" t="inlineStr">
        <is>
          <t>Saved bar / clear selection / party size</t>
        </is>
      </c>
      <c r="D61" s="9" t="inlineStr">
        <is>
          <t>Complete in code</t>
        </is>
      </c>
      <c r="E61" s="9" t="inlineStr">
        <is>
          <t>High</t>
        </is>
      </c>
      <c r="F61" s="9" t="inlineStr">
        <is>
          <t>Easy</t>
        </is>
      </c>
      <c r="G61" s="9" t="inlineStr">
        <is>
          <t>Keep controls; storage and totals accuracy are tracked separately.</t>
        </is>
      </c>
      <c r="H61" s="9" t="inlineStr">
        <is>
          <t>Explore audit ID 35; Saved count, clearing, and 1–16 person stepper are implemented locally.</t>
        </is>
      </c>
      <c r="I61" s="9" t="inlineStr">
        <is>
          <t>See related gates</t>
        </is>
      </c>
    </row>
    <row r="62" ht="26" customHeight="1">
      <c r="A62" s="13" t="inlineStr">
        <is>
          <t>F36</t>
        </is>
      </c>
      <c r="B62" s="13" t="inlineStr">
        <is>
          <t>Capability</t>
        </is>
      </c>
      <c r="C62" s="13" t="inlineStr">
        <is>
          <t>Group cost estimate</t>
        </is>
      </c>
      <c r="D62" s="13" t="inlineStr">
        <is>
          <t>Partial</t>
        </is>
      </c>
      <c r="E62" s="13" t="inlineStr">
        <is>
          <t>High</t>
        </is>
      </c>
      <c r="F62" s="13" t="inlineStr">
        <is>
          <t>Easy</t>
        </is>
      </c>
      <c r="G62" s="13" t="inlineStr">
        <is>
          <t>Handle unknown, mixed-currency, fee, quantity, and per-group prices correctly.</t>
        </is>
      </c>
      <c r="H62" s="13" t="inlineStr">
        <is>
          <t>Explore audit ID 36; Basic multiplication works but treats unknown prices as zero and assumes one per-person price/currency.</t>
        </is>
      </c>
      <c r="I62" s="13" t="inlineStr">
        <is>
          <t>See related gates</t>
        </is>
      </c>
    </row>
    <row r="63" ht="26" customHeight="1">
      <c r="A63" s="9" t="inlineStr">
        <is>
          <t>F37</t>
        </is>
      </c>
      <c r="B63" s="9" t="inlineStr">
        <is>
          <t>Capability</t>
        </is>
      </c>
      <c r="C63" s="9" t="inlineStr">
        <is>
          <t>Invite real friends / send invitations</t>
        </is>
      </c>
      <c r="D63" s="9" t="inlineStr">
        <is>
          <t>Pending</t>
        </is>
      </c>
      <c r="E63" s="9" t="inlineStr">
        <is>
          <t>High</t>
        </is>
      </c>
      <c r="F63" s="9" t="inlineStr">
        <is>
          <t>Very hard</t>
        </is>
      </c>
      <c r="G63" s="9" t="inlineStr">
        <is>
          <t>Connect real eligible recipients, selected activity, invitation delivery, and failures.</t>
        </is>
      </c>
      <c r="H63" s="9" t="inlineStr">
        <is>
          <t>Explore audit ID 37; Invite sheet is now marked coming soon; real invitations still absent.</t>
        </is>
      </c>
      <c r="I63" s="9" t="inlineStr">
        <is>
          <t>See related gates</t>
        </is>
      </c>
    </row>
    <row r="64" ht="26" customHeight="1">
      <c r="A64" s="13" t="inlineStr">
        <is>
          <t>F38</t>
        </is>
      </c>
      <c r="B64" s="13" t="inlineStr">
        <is>
          <t>Capability</t>
        </is>
      </c>
      <c r="C64" s="13" t="inlineStr">
        <is>
          <t>Share listing to group chat</t>
        </is>
      </c>
      <c r="D64" s="13" t="inlineStr">
        <is>
          <t>Pending</t>
        </is>
      </c>
      <c r="E64" s="13" t="inlineStr">
        <is>
          <t>High</t>
        </is>
      </c>
      <c r="F64" s="13" t="inlineStr">
        <is>
          <t>Hard</t>
        </is>
      </c>
      <c r="G64" s="13" t="inlineStr">
        <is>
          <t>Connect a selected group and real message payload, or provide ordinary link sharing.</t>
        </is>
      </c>
      <c r="H64" s="13" t="inlineStr">
        <is>
          <t>Explore audit ID 38; Fake share success removed; real group message remains absent.</t>
        </is>
      </c>
      <c r="I64" s="13" t="inlineStr">
        <is>
          <t>See related gates</t>
        </is>
      </c>
    </row>
    <row r="65" ht="26" customHeight="1">
      <c r="A65" s="9" t="inlineStr">
        <is>
          <t>F39</t>
        </is>
      </c>
      <c r="B65" s="9" t="inlineStr">
        <is>
          <t>Capability</t>
        </is>
      </c>
      <c r="C65" s="9" t="inlineStr">
        <is>
          <t>Share invitation link</t>
        </is>
      </c>
      <c r="D65" s="9" t="inlineStr">
        <is>
          <t>Pending</t>
        </is>
      </c>
      <c r="E65" s="9" t="inlineStr">
        <is>
          <t>High</t>
        </is>
      </c>
      <c r="F65" s="9" t="inlineStr">
        <is>
          <t>Easy</t>
        </is>
      </c>
      <c r="G65" s="9" t="inlineStr">
        <is>
          <t>Create a scoped invitation link and copy/share flow.</t>
        </is>
      </c>
      <c r="H65" s="9" t="inlineStr">
        <is>
          <t>Explore audit ID 39; Share a link instead has no handler.</t>
        </is>
      </c>
      <c r="I65" s="9" t="inlineStr">
        <is>
          <t>See related gates</t>
        </is>
      </c>
    </row>
    <row r="66" ht="26" customHeight="1">
      <c r="A66" s="13" t="inlineStr">
        <is>
          <t>F40</t>
        </is>
      </c>
      <c r="B66" s="13" t="inlineStr">
        <is>
          <t>Capability</t>
        </is>
      </c>
      <c r="C66" s="13" t="inlineStr">
        <is>
          <t>Keyboard-complete dialogs</t>
        </is>
      </c>
      <c r="D66" s="13" t="inlineStr">
        <is>
          <t>Pending</t>
        </is>
      </c>
      <c r="E66" s="13" t="inlineStr">
        <is>
          <t>High</t>
        </is>
      </c>
      <c r="F66" s="13" t="inlineStr">
        <is>
          <t>Easy</t>
        </is>
      </c>
      <c r="G66" s="13" t="inlineStr">
        <is>
          <t>Verify keyboard navigation and add consistent modal focus behavior.</t>
        </is>
      </c>
      <c r="H66" s="13" t="inlineStr">
        <is>
          <t>Explore audit ID 40; Location has Escape handling; drawer/invite lack visible focus trap/restore and Escape support in these components.</t>
        </is>
      </c>
      <c r="I66" s="13" t="inlineStr">
        <is>
          <t>See related gates</t>
        </is>
      </c>
    </row>
    <row r="67" ht="26" customHeight="1">
      <c r="A67" s="9" t="inlineStr">
        <is>
          <t>F41</t>
        </is>
      </c>
      <c r="B67" s="9" t="inlineStr">
        <is>
          <t>Capability</t>
        </is>
      </c>
      <c r="C67" s="9" t="inlineStr">
        <is>
          <t>Destination click / deep link / reset</t>
        </is>
      </c>
      <c r="D67" s="9" t="inlineStr">
        <is>
          <t>Partial</t>
        </is>
      </c>
      <c r="E67" s="9" t="inlineStr">
        <is>
          <t>High</t>
        </is>
      </c>
      <c r="F67" s="9" t="inlineStr">
        <is>
          <t>Easy</t>
        </is>
      </c>
      <c r="G67" s="9" t="inlineStr">
        <is>
          <t>Preserve explicit destination and return to user's actual previous location.</t>
        </is>
      </c>
      <c r="H67" s="9" t="inlineStr">
        <is>
          <t>Explore audit ID 41; City selection and query-string handoff exist; GPS can overwrite selection and reset is always Chicago.</t>
        </is>
      </c>
      <c r="I67" s="9" t="inlineStr">
        <is>
          <t>See related gates</t>
        </is>
      </c>
    </row>
    <row r="68" ht="26" customHeight="1">
      <c r="A68" s="13" t="inlineStr">
        <is>
          <t>F42</t>
        </is>
      </c>
      <c r="B68" s="13" t="inlineStr">
        <is>
          <t>Capability</t>
        </is>
      </c>
      <c r="C68" s="13" t="inlineStr">
        <is>
          <t>Shared navigation and responsive layout</t>
        </is>
      </c>
      <c r="D68" s="13" t="inlineStr">
        <is>
          <t>Complete in code</t>
        </is>
      </c>
      <c r="E68" s="13" t="inlineStr">
        <is>
          <t>High</t>
        </is>
      </c>
      <c r="F68" s="13" t="inlineStr">
        <is>
          <t>Easy</t>
        </is>
      </c>
      <c r="G68" s="13" t="inlineStr">
        <is>
          <t>Retain layout; browser/mobile QA was not rerun in this audit.</t>
        </is>
      </c>
      <c r="H68" s="13" t="inlineStr">
        <is>
          <t>Explore audit ID 42; Explore uses the shared app header/dashboard shell and responsive stylesheet.</t>
        </is>
      </c>
      <c r="I68" s="13" t="inlineStr">
        <is>
          <t>See related gates</t>
        </is>
      </c>
    </row>
    <row r="69" ht="26" customHeight="1">
      <c r="A69" s="9" t="inlineStr">
        <is>
          <t>F43</t>
        </is>
      </c>
      <c r="B69" s="9" t="inlineStr">
        <is>
          <t>Capability</t>
        </is>
      </c>
      <c r="C69" s="9" t="inlineStr">
        <is>
          <t>Location hero photo and attribution</t>
        </is>
      </c>
      <c r="D69" s="9" t="inlineStr">
        <is>
          <t>Complete in code</t>
        </is>
      </c>
      <c r="E69" s="9" t="inlineStr">
        <is>
          <t>Later</t>
        </is>
      </c>
      <c r="F69" s="9" t="inlineStr">
        <is>
          <t>Easy</t>
        </is>
      </c>
      <c r="G69" s="9" t="inlineStr">
        <is>
          <t>Keep; defer additional image polish.</t>
        </is>
      </c>
      <c r="H69" s="9" t="inlineStr">
        <is>
          <t>Explore audit ID 43; Hero API supplies geographically checked imagery with fallback/credit display.</t>
        </is>
      </c>
      <c r="I69" s="9" t="inlineStr">
        <is>
          <t>See related gates</t>
        </is>
      </c>
    </row>
    <row r="70" ht="26" customHeight="1">
      <c r="A70" s="13" t="inlineStr">
        <is>
          <t>F44</t>
        </is>
      </c>
      <c r="B70" s="13" t="inlineStr">
        <is>
          <t>Capability</t>
        </is>
      </c>
      <c r="C70" s="13" t="inlineStr">
        <is>
          <t>Local weather display</t>
        </is>
      </c>
      <c r="D70" s="13" t="inlineStr">
        <is>
          <t>Complete in code</t>
        </is>
      </c>
      <c r="E70" s="13" t="inlineStr">
        <is>
          <t>Later</t>
        </is>
      </c>
      <c r="F70" s="13" t="inlineStr">
        <is>
          <t>Easy</t>
        </is>
      </c>
      <c r="G70" s="13" t="inlineStr">
        <is>
          <t>Keep; no forecast expansion needed for core discovery.</t>
        </is>
      </c>
      <c r="H70" s="13" t="inlineStr">
        <is>
          <t>Explore audit ID 44; Hero weather is rendered with an unavailable state.</t>
        </is>
      </c>
      <c r="I70" s="13" t="inlineStr">
        <is>
          <t>See related gates</t>
        </is>
      </c>
    </row>
    <row r="71" ht="26" customHeight="1">
      <c r="A71" s="9" t="inlineStr">
        <is>
          <t>F45</t>
        </is>
      </c>
      <c r="B71" s="9" t="inlineStr">
        <is>
          <t>Capability</t>
        </is>
      </c>
      <c r="C71" s="9" t="inlineStr">
        <is>
          <t>Suggested-question cards</t>
        </is>
      </c>
      <c r="D71" s="9" t="inlineStr">
        <is>
          <t>Complete in code</t>
        </is>
      </c>
      <c r="E71" s="9" t="inlineStr">
        <is>
          <t>Later</t>
        </is>
      </c>
      <c r="F71" s="9" t="inlineStr">
        <is>
          <t>Easy</t>
        </is>
      </c>
      <c r="G71" s="9" t="inlineStr">
        <is>
          <t>Keep simple shortcuts; intelligence is tracked separately.</t>
        </is>
      </c>
      <c r="H71" s="9" t="inlineStr">
        <is>
          <t>Explore audit ID 45; Feed prompts fill/submit the same Plan it interaction.</t>
        </is>
      </c>
      <c r="I71" s="9" t="inlineStr">
        <is>
          <t>See related gates</t>
        </is>
      </c>
    </row>
    <row r="72" ht="26" customHeight="1">
      <c r="A72" s="13" t="inlineStr">
        <is>
          <t>F46</t>
        </is>
      </c>
      <c r="B72" s="13" t="inlineStr">
        <is>
          <t>Capability</t>
        </is>
      </c>
      <c r="C72" s="13" t="inlineStr">
        <is>
          <t>Late events / starting-soon shortcut</t>
        </is>
      </c>
      <c r="D72" s="13" t="inlineStr">
        <is>
          <t>Partial</t>
        </is>
      </c>
      <c r="E72" s="13" t="inlineStr">
        <is>
          <t>Later</t>
        </is>
      </c>
      <c r="F72" s="13" t="inlineStr">
        <is>
          <t>Easy</t>
        </is>
      </c>
      <c r="G72" s="13" t="inlineStr">
        <is>
          <t>Hide misleading time claims or connect a real time window.</t>
        </is>
      </c>
      <c r="H72" s="13" t="inlineStr">
        <is>
          <t>Explore audit ID 46; Starting-soon claim softened; live time window still absent.</t>
        </is>
      </c>
      <c r="I72" s="13" t="inlineStr">
        <is>
          <t>See related gates</t>
        </is>
      </c>
    </row>
    <row r="73" ht="26" customHeight="1">
      <c r="A73" s="9" t="inlineStr">
        <is>
          <t>F47</t>
        </is>
      </c>
      <c r="B73" s="9" t="inlineStr">
        <is>
          <t>Capability</t>
        </is>
      </c>
      <c r="C73" s="9" t="inlineStr">
        <is>
          <t>Drawer photo</t>
        </is>
      </c>
      <c r="D73" s="9" t="inlineStr">
        <is>
          <t>Pending</t>
        </is>
      </c>
      <c r="E73" s="9" t="inlineStr">
        <is>
          <t>Later</t>
        </is>
      </c>
      <c r="F73" s="9" t="inlineStr">
        <is>
          <t>Easy</t>
        </is>
      </c>
      <c r="G73" s="9" t="inlineStr">
        <is>
          <t>Pass verified image URL when core data is stable.</t>
        </is>
      </c>
      <c r="H73" s="9" t="inlineStr">
        <is>
          <t>Explore audit ID 47; Drawer displays a detail-photo placeholder rather than listing media.</t>
        </is>
      </c>
      <c r="I73" s="9" t="inlineStr">
        <is>
          <t>See related gates</t>
        </is>
      </c>
    </row>
    <row r="74" ht="26" customHeight="1">
      <c r="A74" s="13" t="inlineStr">
        <is>
          <t>F48</t>
        </is>
      </c>
      <c r="B74" s="13" t="inlineStr">
        <is>
          <t>Capability</t>
        </is>
      </c>
      <c r="C74" s="13" t="inlineStr">
        <is>
          <t>Drawer map / directions</t>
        </is>
      </c>
      <c r="D74" s="13" t="inlineStr">
        <is>
          <t>Pending</t>
        </is>
      </c>
      <c r="E74" s="13" t="inlineStr">
        <is>
          <t>Later</t>
        </is>
      </c>
      <c r="F74" s="13" t="inlineStr">
        <is>
          <t>Easy</t>
        </is>
      </c>
      <c r="G74" s="13" t="inlineStr">
        <is>
          <t>Reuse the existing Live/map handoff when useful.</t>
        </is>
      </c>
      <c r="H74" s="13" t="inlineStr">
        <is>
          <t>Explore audit ID 48; Drawer map is a labeled decorative block without coordinates or navigation.</t>
        </is>
      </c>
      <c r="I74" s="13" t="inlineStr">
        <is>
          <t>See related gates</t>
        </is>
      </c>
    </row>
    <row r="75" ht="26" customHeight="1">
      <c r="A75" s="9" t="inlineStr">
        <is>
          <t>F49</t>
        </is>
      </c>
      <c r="B75" s="9" t="inlineStr">
        <is>
          <t>Capability</t>
        </is>
      </c>
      <c r="C75" s="9" t="inlineStr">
        <is>
          <t>Who's going / friend quote / social proof</t>
        </is>
      </c>
      <c r="D75" s="9" t="inlineStr">
        <is>
          <t>Pending</t>
        </is>
      </c>
      <c r="E75" s="9" t="inlineStr">
        <is>
          <t>Later</t>
        </is>
      </c>
      <c r="F75" s="9" t="inlineStr">
        <is>
          <t>Easy</t>
        </is>
      </c>
      <c r="G75" s="9" t="inlineStr">
        <is>
          <t>Hide now; implement only with real consented attendance data.</t>
        </is>
      </c>
      <c r="H75" s="9" t="inlineStr">
        <is>
          <t>Explore audit ID 49; Drawer social fixtures removed locally; real attendance absent.</t>
        </is>
      </c>
      <c r="I75" s="9" t="inlineStr">
        <is>
          <t>See related gates</t>
        </is>
      </c>
    </row>
    <row r="76" ht="26" customHeight="1">
      <c r="A76" s="13" t="inlineStr">
        <is>
          <t>F50</t>
        </is>
      </c>
      <c r="B76" s="13" t="inlineStr">
        <is>
          <t>Capability</t>
        </is>
      </c>
      <c r="C76" s="13" t="inlineStr">
        <is>
          <t>Friends-going filter</t>
        </is>
      </c>
      <c r="D76" s="13" t="inlineStr">
        <is>
          <t>Pending</t>
        </is>
      </c>
      <c r="E76" s="13" t="inlineStr">
        <is>
          <t>Later</t>
        </is>
      </c>
      <c r="F76" s="13" t="inlineStr">
        <is>
          <t>Easy</t>
        </is>
      </c>
      <c r="G76" s="13" t="inlineStr">
        <is>
          <t>Defer until attendance is connected; hide the option meanwhile.</t>
        </is>
      </c>
      <c r="H76" s="13" t="inlineStr">
        <is>
          <t>Explore audit ID 50; No friend attendance dataset is used by this filter.</t>
        </is>
      </c>
      <c r="I76" s="13" t="inlineStr">
        <is>
          <t>See related gates</t>
        </is>
      </c>
    </row>
    <row r="77" ht="26" customHeight="1">
      <c r="A77" s="9" t="inlineStr">
        <is>
          <t>F51</t>
        </is>
      </c>
      <c r="B77" s="9" t="inlineStr">
        <is>
          <t>Capability</t>
        </is>
      </c>
      <c r="C77" s="9" t="inlineStr">
        <is>
          <t>Hold / Commit / Open invitation modes</t>
        </is>
      </c>
      <c r="D77" s="9" t="inlineStr">
        <is>
          <t>Pending</t>
        </is>
      </c>
      <c r="E77" s="9" t="inlineStr">
        <is>
          <t>Later</t>
        </is>
      </c>
      <c r="F77" s="9" t="inlineStr">
        <is>
          <t>Very hard</t>
        </is>
      </c>
      <c r="G77" s="9" t="inlineStr">
        <is>
          <t>Define the real group workflow before connecting these controls.</t>
        </is>
      </c>
      <c r="H77" s="9" t="inlineStr">
        <is>
          <t>Explore audit ID 51; Buttons have no mode-changing behavior or persisted semantics.</t>
        </is>
      </c>
      <c r="I77" s="9" t="inlineStr">
        <is>
          <t>See related gates</t>
        </is>
      </c>
    </row>
    <row r="78" ht="26" customHeight="1">
      <c r="A78" s="13" t="inlineStr">
        <is>
          <t>F52</t>
        </is>
      </c>
      <c r="B78" s="13" t="inlineStr">
        <is>
          <t>Capability</t>
        </is>
      </c>
      <c r="C78" s="13" t="inlineStr">
        <is>
          <t>RSVP deadline / majority vote</t>
        </is>
      </c>
      <c r="D78" s="13" t="inlineStr">
        <is>
          <t>Pending</t>
        </is>
      </c>
      <c r="E78" s="13" t="inlineStr">
        <is>
          <t>Later</t>
        </is>
      </c>
      <c r="F78" s="13" t="inlineStr">
        <is>
          <t>Very hard</t>
        </is>
      </c>
      <c r="G78" s="13" t="inlineStr">
        <is>
          <t>Reuse authenticated poll infrastructure after activity invites work.</t>
        </is>
      </c>
      <c r="H78" s="13" t="inlineStr">
        <is>
          <t>Explore audit ID 52; Thursday 8 PM is fixed; Change has no handler and no poll is created.</t>
        </is>
      </c>
      <c r="I78" s="13" t="inlineStr">
        <is>
          <t>See related gates</t>
        </is>
      </c>
    </row>
    <row r="79" ht="26" customHeight="1">
      <c r="A79" s="9" t="inlineStr">
        <is>
          <t>F53</t>
        </is>
      </c>
      <c r="B79" s="9" t="inlineStr">
        <is>
          <t>Capability</t>
        </is>
      </c>
      <c r="C79" s="9" t="inlineStr">
        <is>
          <t>Split cost / create expense</t>
        </is>
      </c>
      <c r="D79" s="9" t="inlineStr">
        <is>
          <t>Pending</t>
        </is>
      </c>
      <c r="E79" s="9" t="inlineStr">
        <is>
          <t>Later</t>
        </is>
      </c>
      <c r="F79" s="9" t="inlineStr">
        <is>
          <t>Very hard</t>
        </is>
      </c>
      <c r="G79" s="9" t="inlineStr">
        <is>
          <t>Connect a real group/expense contract only after a confirmed cost exists.</t>
        </is>
      </c>
      <c r="H79" s="9" t="inlineStr">
        <is>
          <t>Explore audit ID 53; Fake split success removed; real expense creation absent.</t>
        </is>
      </c>
      <c r="I79" s="9" t="inlineStr">
        <is>
          <t>See related gates</t>
        </is>
      </c>
    </row>
    <row r="80" ht="26" customHeight="1">
      <c r="A80" s="13" t="inlineStr">
        <is>
          <t>F54</t>
        </is>
      </c>
      <c r="B80" s="13" t="inlineStr">
        <is>
          <t>Capability</t>
        </is>
      </c>
      <c r="C80" s="13" t="inlineStr">
        <is>
          <t>Region tabs and destination carousel</t>
        </is>
      </c>
      <c r="D80" s="13" t="inlineStr">
        <is>
          <t>Complete in code</t>
        </is>
      </c>
      <c r="E80" s="13" t="inlineStr">
        <is>
          <t>Later</t>
        </is>
      </c>
      <c r="F80" s="13" t="inlineStr">
        <is>
          <t>Easy</t>
        </is>
      </c>
      <c r="G80" s="13" t="inlineStr">
        <is>
          <t>Keep curated browsing; no global expansion required for core Explore.</t>
        </is>
      </c>
      <c r="H80" s="13" t="inlineStr">
        <is>
          <t>Explore audit ID 54; USA, Canada, Mexico, Europe, Oceania tabs and reel scroll controls work on curated data.</t>
        </is>
      </c>
      <c r="I80" s="13" t="inlineStr">
        <is>
          <t>See related gates</t>
        </is>
      </c>
    </row>
    <row r="81" ht="26" customHeight="1">
      <c r="A81" s="9" t="inlineStr">
        <is>
          <t>F55</t>
        </is>
      </c>
      <c r="B81" s="9" t="inlineStr">
        <is>
          <t>Capability</t>
        </is>
      </c>
      <c r="C81" s="9" t="inlineStr">
        <is>
          <t>All countries destination directory</t>
        </is>
      </c>
      <c r="D81" s="9" t="inlineStr">
        <is>
          <t>Partial</t>
        </is>
      </c>
      <c r="E81" s="9" t="inlineStr">
        <is>
          <t>Later</t>
        </is>
      </c>
      <c r="F81" s="9" t="inlineStr">
        <is>
          <t>Easy</t>
        </is>
      </c>
      <c r="G81" s="9" t="inlineStr">
        <is>
          <t>Rename to supported destinations or expand later.</t>
        </is>
      </c>
      <c r="H81" s="9" t="inlineStr">
        <is>
          <t>Explore audit ID 55; Directory works for five curated regions; it is not all countries.</t>
        </is>
      </c>
      <c r="I81" s="9" t="inlineStr">
        <is>
          <t>See related gates</t>
        </is>
      </c>
    </row>
    <row r="82" ht="26" customHeight="1">
      <c r="A82" s="13" t="inlineStr">
        <is>
          <t>F56</t>
        </is>
      </c>
      <c r="B82" s="13" t="inlineStr">
        <is>
          <t>Capability</t>
        </is>
      </c>
      <c r="C82" s="13" t="inlineStr">
        <is>
          <t>Surprise me destination choice</t>
        </is>
      </c>
      <c r="D82" s="13" t="inlineStr">
        <is>
          <t>Partial</t>
        </is>
      </c>
      <c r="E82" s="13" t="inlineStr">
        <is>
          <t>Later</t>
        </is>
      </c>
      <c r="F82" s="13" t="inlineStr">
        <is>
          <t>Easy</t>
        </is>
      </c>
      <c r="G82" s="13" t="inlineStr">
        <is>
          <t>Label as random or later add preference-based selection.</t>
        </is>
      </c>
      <c r="H82" s="13" t="inlineStr">
        <is>
          <t>Explore audit ID 56; Random city selection works; copy calls it a Wayra pick although no AI runs.</t>
        </is>
      </c>
      <c r="I82" s="13" t="inlineStr">
        <is>
          <t>See related gates</t>
        </is>
      </c>
    </row>
    <row r="83" ht="26" customHeight="1">
      <c r="A83" s="9" t="inlineStr">
        <is>
          <t>F57</t>
        </is>
      </c>
      <c r="B83" s="9" t="inlineStr">
        <is>
          <t>Capability</t>
        </is>
      </c>
      <c r="C83" s="9" t="inlineStr">
        <is>
          <t>Destination popularity / trending / flight-time badges</t>
        </is>
      </c>
      <c r="D83" s="9" t="inlineStr">
        <is>
          <t>Pending</t>
        </is>
      </c>
      <c r="E83" s="9" t="inlineStr">
        <is>
          <t>Later</t>
        </is>
      </c>
      <c r="F83" s="9" t="inlineStr">
        <is>
          <t>Easy</t>
        </is>
      </c>
      <c r="G83" s="9" t="inlineStr">
        <is>
          <t>Remove unsupported factual claims; defer real popularity scoring.</t>
        </is>
      </c>
      <c r="H83" s="9" t="inlineStr">
        <is>
          <t>Explore audit ID 57; Badge strings such as You're here, Trending, Festival week, 2 hr flight are static.</t>
        </is>
      </c>
      <c r="I83" s="9" t="inlineStr">
        <is>
          <t>See related gates</t>
        </is>
      </c>
    </row>
    <row r="84" ht="26" customHeight="1">
      <c r="A84" s="13" t="inlineStr">
        <is>
          <t>F58</t>
        </is>
      </c>
      <c r="B84" s="13" t="inlineStr">
        <is>
          <t>Capability</t>
        </is>
      </c>
      <c r="C84" s="13" t="inlineStr">
        <is>
          <t>Destination reel imagery</t>
        </is>
      </c>
      <c r="D84" s="13" t="inlineStr">
        <is>
          <t>Pending</t>
        </is>
      </c>
      <c r="E84" s="13" t="inlineStr">
        <is>
          <t>Later</t>
        </is>
      </c>
      <c r="F84" s="13" t="inlineStr">
        <is>
          <t>Easy</t>
        </is>
      </c>
      <c r="G84" s="13" t="inlineStr">
        <is>
          <t>Add licensed/location-relevant images after functional priorities.</t>
        </is>
      </c>
      <c r="H84" s="13" t="inlineStr">
        <is>
          <t>Explore audit ID 58; City cards show reel 600×870 placeholders.</t>
        </is>
      </c>
      <c r="I84" s="13" t="inlineStr">
        <is>
          <t>See related gates</t>
        </is>
      </c>
    </row>
  </sheetData>
  <conditionalFormatting sqref="D9:D84">
    <cfRule type="containsText" priority="1" operator="containsText" dxfId="0" text="Complete in code"/>
    <cfRule type="containsText" priority="2" operator="containsText" dxfId="1" text="Partial"/>
    <cfRule type="containsText" priority="3" operator="containsText" dxfId="2" text="Pending"/>
    <cfRule type="containsText" priority="4" operator="containsText" dxfId="2" text="Not started"/>
  </conditionalFormatting>
  <conditionalFormatting sqref="E9:E84">
    <cfRule type="containsText" priority="5" operator="containsText" dxfId="1" text="Critical"/>
  </conditionalFormatting>
  <conditionalFormatting sqref="F9:F84">
    <cfRule type="containsText" priority="6" operator="containsText" dxfId="5" text="Very hard"/>
  </conditionalFormatting>
  <dataValidations count="3">
    <dataValidation sqref="D9:D84" showDropDown="0" showInputMessage="0" showErrorMessage="0" allowBlank="0" type="list">
      <formula1>"Complete in code,Partial,Pending,Not started"</formula1>
    </dataValidation>
    <dataValidation sqref="E9:E84" showDropDown="0" showInputMessage="0" showErrorMessage="0" allowBlank="0" type="list">
      <formula1>"Critical,High,Later"</formula1>
    </dataValidation>
    <dataValidation sqref="F9:F84" showDropDown="0" showInputMessage="0" showErrorMessage="0" allowBlank="0" type="list">
      <formula1>"Very hard,Hard,Moderate,Easy"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2026-09-23T09:13:30Z</dcterms:created>
  <dcterms:modified xsi:type="dcterms:W3CDTF">2026-09-25T09:53:41Z</dcterms:modified>
</cp:coreProperties>
</file>